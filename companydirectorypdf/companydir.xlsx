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kwlivingrealtydrive\kwlrportal\companydirectorypdf\"/>
    </mc:Choice>
  </mc:AlternateContent>
  <xr:revisionPtr revIDLastSave="0" documentId="13_ncr:1_{C0CFD71B-6C94-40B3-9C86-1DE6F0377A57}" xr6:coauthVersionLast="47" xr6:coauthVersionMax="47" xr10:uidLastSave="{00000000-0000-0000-0000-000000000000}"/>
  <bookViews>
    <workbookView xWindow="-90" yWindow="-16440" windowWidth="29040" windowHeight="15720" activeTab="2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Size'!$A$1:$F$77</definedName>
    <definedName name="_xlnm.Print_Area" localSheetId="0">'Letter Size'!$A$1:$I$76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9" i="8" l="1"/>
  <c r="E59" i="8"/>
  <c r="D59" i="8"/>
  <c r="C59" i="8"/>
  <c r="B59" i="8"/>
  <c r="A59" i="8"/>
  <c r="F58" i="8"/>
  <c r="E58" i="8"/>
  <c r="D58" i="8"/>
  <c r="C58" i="8"/>
  <c r="B58" i="8"/>
  <c r="A58" i="8"/>
  <c r="F33" i="8"/>
  <c r="E33" i="8"/>
  <c r="D33" i="8"/>
  <c r="C33" i="8"/>
  <c r="B33" i="8"/>
  <c r="A33" i="8"/>
  <c r="F59" i="9"/>
  <c r="E59" i="9"/>
  <c r="D59" i="9"/>
  <c r="C59" i="9"/>
  <c r="B59" i="9"/>
  <c r="A59" i="9"/>
  <c r="F58" i="9"/>
  <c r="E58" i="9"/>
  <c r="D58" i="9"/>
  <c r="C58" i="9"/>
  <c r="B58" i="9"/>
  <c r="A58" i="9"/>
  <c r="M57" i="7"/>
  <c r="F33" i="9"/>
  <c r="E33" i="9"/>
  <c r="D33" i="9"/>
  <c r="C33" i="9"/>
  <c r="B33" i="9"/>
  <c r="A33" i="9"/>
  <c r="M32" i="7"/>
  <c r="F15" i="8"/>
  <c r="E15" i="8"/>
  <c r="D15" i="8"/>
  <c r="C15" i="8"/>
  <c r="B15" i="8"/>
  <c r="A15" i="8"/>
  <c r="F23" i="9"/>
  <c r="E23" i="9"/>
  <c r="D23" i="9"/>
  <c r="C23" i="9"/>
  <c r="B23" i="9"/>
  <c r="A23" i="9"/>
  <c r="F15" i="9"/>
  <c r="E15" i="9"/>
  <c r="D15" i="9"/>
  <c r="C15" i="9"/>
  <c r="B15" i="9"/>
  <c r="A15" i="9"/>
  <c r="M14" i="7"/>
  <c r="F73" i="9"/>
  <c r="E73" i="9"/>
  <c r="D73" i="9"/>
  <c r="C73" i="9"/>
  <c r="B73" i="9"/>
  <c r="A73" i="9"/>
  <c r="F69" i="9"/>
  <c r="E69" i="9"/>
  <c r="D69" i="9"/>
  <c r="C69" i="9"/>
  <c r="B69" i="9"/>
  <c r="A69" i="9"/>
  <c r="F66" i="9"/>
  <c r="E66" i="9"/>
  <c r="D66" i="9"/>
  <c r="C66" i="9"/>
  <c r="B66" i="9"/>
  <c r="A66" i="9"/>
  <c r="F63" i="9"/>
  <c r="E63" i="9"/>
  <c r="D63" i="9"/>
  <c r="C63" i="9"/>
  <c r="B63" i="9"/>
  <c r="A63" i="9"/>
  <c r="F73" i="8"/>
  <c r="E73" i="8"/>
  <c r="D73" i="8"/>
  <c r="C73" i="8"/>
  <c r="B73" i="8"/>
  <c r="A73" i="8"/>
  <c r="F69" i="8"/>
  <c r="E69" i="8"/>
  <c r="D69" i="8"/>
  <c r="C69" i="8"/>
  <c r="B69" i="8"/>
  <c r="A69" i="8"/>
  <c r="F66" i="8"/>
  <c r="E66" i="8"/>
  <c r="D66" i="8"/>
  <c r="C66" i="8"/>
  <c r="B66" i="8"/>
  <c r="A66" i="8"/>
  <c r="F63" i="8"/>
  <c r="E63" i="8"/>
  <c r="D63" i="8"/>
  <c r="C63" i="8"/>
  <c r="B63" i="8"/>
  <c r="A63" i="8"/>
  <c r="M65" i="7"/>
  <c r="M68" i="7"/>
  <c r="M62" i="7"/>
  <c r="M72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49" i="9"/>
  <c r="E49" i="9"/>
  <c r="D49" i="9"/>
  <c r="C49" i="9"/>
  <c r="B49" i="9"/>
  <c r="A49" i="9"/>
  <c r="F49" i="8"/>
  <c r="E49" i="8"/>
  <c r="D49" i="8"/>
  <c r="C49" i="8"/>
  <c r="B49" i="8"/>
  <c r="A49" i="8"/>
  <c r="M48" i="7"/>
  <c r="F57" i="9"/>
  <c r="E57" i="9"/>
  <c r="D57" i="9"/>
  <c r="C57" i="9"/>
  <c r="B57" i="9"/>
  <c r="A57" i="9"/>
  <c r="F57" i="8"/>
  <c r="E57" i="8"/>
  <c r="D57" i="8"/>
  <c r="C57" i="8"/>
  <c r="B57" i="8"/>
  <c r="A57" i="8"/>
  <c r="M56" i="7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77" i="9"/>
  <c r="E77" i="9"/>
  <c r="D77" i="9"/>
  <c r="C77" i="9"/>
  <c r="B77" i="9"/>
  <c r="A77" i="9"/>
  <c r="F76" i="9"/>
  <c r="E76" i="9"/>
  <c r="D76" i="9"/>
  <c r="C76" i="9"/>
  <c r="B76" i="9"/>
  <c r="A76" i="9"/>
  <c r="F75" i="9"/>
  <c r="E75" i="9"/>
  <c r="D75" i="9"/>
  <c r="C75" i="9"/>
  <c r="B75" i="9"/>
  <c r="A75" i="9"/>
  <c r="F74" i="9"/>
  <c r="E74" i="9"/>
  <c r="D74" i="9"/>
  <c r="C74" i="9"/>
  <c r="B74" i="9"/>
  <c r="A74" i="9"/>
  <c r="F72" i="9"/>
  <c r="E72" i="9"/>
  <c r="D72" i="9"/>
  <c r="C72" i="9"/>
  <c r="B72" i="9"/>
  <c r="A72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2" i="9"/>
  <c r="E52" i="9"/>
  <c r="D52" i="9"/>
  <c r="C52" i="9"/>
  <c r="B52" i="9"/>
  <c r="A52" i="9"/>
  <c r="F51" i="9"/>
  <c r="E51" i="9"/>
  <c r="D51" i="9"/>
  <c r="C51" i="9"/>
  <c r="B51" i="9"/>
  <c r="A51" i="9"/>
  <c r="F50" i="9"/>
  <c r="E50" i="9"/>
  <c r="D50" i="9"/>
  <c r="C50" i="9"/>
  <c r="B50" i="9"/>
  <c r="A50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F27" i="9"/>
  <c r="E27" i="9"/>
  <c r="D27" i="9"/>
  <c r="C27" i="9"/>
  <c r="B27" i="9"/>
  <c r="A27" i="9"/>
  <c r="M38" i="7"/>
  <c r="M37" i="7"/>
  <c r="M36" i="7"/>
  <c r="M67" i="7"/>
  <c r="M66" i="7"/>
  <c r="F24" i="9"/>
  <c r="E24" i="9"/>
  <c r="D24" i="9"/>
  <c r="C24" i="9"/>
  <c r="B24" i="9"/>
  <c r="A24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5" i="9"/>
  <c r="E25" i="9"/>
  <c r="D25" i="9"/>
  <c r="C25" i="9"/>
  <c r="B25" i="9"/>
  <c r="A25" i="9"/>
  <c r="F25" i="8"/>
  <c r="E25" i="8"/>
  <c r="D25" i="8"/>
  <c r="C25" i="8"/>
  <c r="B25" i="8"/>
  <c r="A25" i="8"/>
  <c r="M49" i="7"/>
  <c r="M20" i="7"/>
  <c r="M28" i="7"/>
  <c r="M70" i="7"/>
  <c r="M69" i="7"/>
  <c r="M71" i="7"/>
  <c r="M64" i="7"/>
  <c r="M47" i="7"/>
  <c r="M52" i="7"/>
  <c r="M51" i="7"/>
  <c r="M55" i="7"/>
  <c r="M19" i="7"/>
  <c r="M54" i="7"/>
  <c r="M22" i="7"/>
  <c r="M2" i="7"/>
  <c r="M3" i="7"/>
  <c r="M4" i="7"/>
  <c r="M5" i="7"/>
  <c r="M8" i="7"/>
  <c r="M9" i="7"/>
  <c r="M12" i="7"/>
  <c r="M13" i="7"/>
  <c r="M15" i="7"/>
  <c r="M16" i="7"/>
  <c r="M17" i="7"/>
  <c r="M18" i="7"/>
  <c r="M21" i="7"/>
  <c r="M23" i="7"/>
  <c r="M24" i="7"/>
  <c r="M25" i="7"/>
  <c r="M26" i="7"/>
  <c r="M27" i="7"/>
  <c r="M29" i="7"/>
  <c r="M30" i="7"/>
  <c r="M31" i="7"/>
  <c r="M33" i="7"/>
  <c r="M34" i="7"/>
  <c r="M35" i="7"/>
  <c r="M39" i="7"/>
  <c r="M40" i="7"/>
  <c r="M41" i="7"/>
  <c r="M42" i="7"/>
  <c r="M43" i="7"/>
  <c r="M44" i="7"/>
  <c r="M45" i="7"/>
  <c r="M46" i="7"/>
  <c r="M50" i="7"/>
  <c r="M53" i="7"/>
  <c r="M58" i="7"/>
  <c r="M59" i="7"/>
  <c r="M60" i="7"/>
  <c r="M61" i="7"/>
  <c r="M63" i="7"/>
  <c r="M73" i="7"/>
  <c r="M74" i="7"/>
  <c r="M75" i="7"/>
  <c r="M76" i="7"/>
  <c r="M77" i="7"/>
  <c r="M78" i="7"/>
  <c r="M79" i="7"/>
  <c r="M80" i="7"/>
  <c r="M81" i="7"/>
  <c r="M82" i="7"/>
  <c r="F26" i="9"/>
  <c r="E26" i="9"/>
  <c r="D26" i="9"/>
  <c r="C26" i="9"/>
  <c r="B26" i="9"/>
  <c r="A2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<sst xmlns="http://schemas.openxmlformats.org/spreadsheetml/2006/main" count="759" uniqueCount="317">
  <si>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</si>
  <si>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</si>
  <si>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</si>
  <si>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</si>
  <si>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</si>
  <si>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</si>
  <si>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</si>
  <si>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</si>
  <si>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</si>
  <si>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</si>
  <si>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</si>
  <si>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</si>
  <si>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</si>
  <si>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</si>
  <si>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</si>
  <si>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</si>
  <si>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</si>
  <si>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</si>
  <si>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</si>
  <si>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</si>
  <si>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</si>
  <si>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</si>
  <si>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</si>
  <si>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</si>
  <si>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</si>
  <si>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</si>
  <si>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</si>
  <si>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</si>
  <si>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</si>
  <si>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</si>
  <si>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</si>
  <si>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</si>
  <si>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</si>
  <si>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</si>
  <si>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</si>
  <si>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</si>
  <si>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</si>
  <si>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</si>
  <si>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</si>
  <si>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</si>
  <si>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</si>
  <si>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</si>
  <si>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</si>
  <si>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</si>
  <si>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</si>
  <si>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</si>
  <si>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</si>
  <si>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</si>
  <si>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</si>
  <si>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</si>
  <si>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</si>
  <si>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</si>
  <si>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</si>
  <si>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</si>
  <si>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</si>
  <si>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</si>
  <si>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</si>
  <si>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</si>
  <si>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</si>
  <si>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</si>
  <si>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</si>
  <si>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</si>
  <si>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</si>
  <si>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</si>
  <si>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</si>
  <si>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</si>
  <si>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</si>
  <si>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</si>
  <si>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</si>
  <si>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</si>
  <si>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</si>
  <si>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</si>
  <si>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</si>
  <si>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</si>
  <si>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</si>
  <si>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</si>
  <si>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</si>
  <si>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</si>
  <si>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</si>
  <si>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</si>
  <si>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</si>
  <si>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</si>
  <si>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</si>
  <si>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</si>
  <si>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</si>
  <si>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</si>
  <si>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</si>
  <si>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</si>
  <si>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</si>
  <si>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</si>
  <si>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</si>
  <si>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</si>
  <si>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</si>
  <si>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</si>
  <si>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</si>
  <si>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</si>
  <si>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</si>
  <si>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</si>
  <si>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</si>
  <si>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</si>
  <si>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</si>
  <si>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</si>
  <si>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</si>
  <si>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</si>
  <si>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</si>
  <si>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</si>
  <si>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</si>
  <si>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</si>
  <si>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</si>
  <si>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</si>
  <si>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</si>
  <si>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</si>
  <si>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</si>
  <si>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</si>
  <si>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</si>
  <si>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</si>
  <si>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</si>
  <si>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</si>
  <si>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</si>
  <si>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</si>
  <si>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</si>
  <si>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</si>
  <si>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</si>
  <si>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</si>
  <si>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</si>
  <si>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</si>
  <si>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</si>
  <si>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</si>
  <si>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</si>
  <si>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</si>
  <si>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</si>
  <si>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</si>
  <si>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</si>
  <si>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</si>
  <si>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</si>
  <si>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</si>
  <si>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</si>
  <si>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</si>
  <si>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</si>
  <si>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</si>
  <si>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</si>
  <si>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</si>
  <si>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</si>
  <si>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</si>
  <si>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</si>
  <si>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</si>
  <si>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</si>
  <si>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</si>
  <si>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</si>
  <si>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</si>
  <si>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</si>
  <si>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</si>
  <si>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</si>
  <si>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</si>
  <si>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</si>
  <si>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</si>
  <si>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</si>
  <si>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</si>
  <si>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</si>
  <si>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</si>
  <si>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</si>
  <si>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</si>
  <si>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</si>
  <si>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</si>
  <si>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</si>
  <si>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</si>
  <si>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</si>
  <si>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</si>
  <si>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</si>
  <si>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</si>
  <si>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</si>
  <si>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</si>
  <si>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</si>
  <si>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</si>
  <si>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</si>
  <si>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</si>
  <si>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</si>
  <si>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</si>
  <si>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</si>
  <si>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</si>
  <si>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</si>
  <si>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</si>
  <si>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</si>
  <si>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</si>
  <si>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</si>
  <si>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</si>
  <si>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</si>
  <si>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</si>
  <si>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</si>
  <si>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</si>
  <si>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</si>
  <si>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</si>
  <si>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</si>
  <si>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</si>
  <si>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</si>
  <si>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</si>
  <si>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</si>
  <si>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</si>
  <si>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</si>
  <si>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</si>
  <si>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</si>
  <si>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</si>
  <si>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</si>
  <si>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</si>
  <si>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</si>
  <si>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</si>
  <si>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</si>
  <si>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</si>
  <si>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</si>
  <si>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</si>
  <si>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</si>
  <si>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</si>
  <si>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</si>
  <si>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</si>
  <si>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</si>
  <si>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</si>
  <si>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</si>
  <si>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</si>
  <si>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</si>
  <si>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</si>
  <si>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</si>
  <si>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</si>
  <si>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</si>
  <si>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</si>
  <si>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</si>
  <si>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</si>
  <si>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</si>
  <si>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</si>
  <si>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Yonge &amp; Eglinton Office</t>
  </si>
  <si>
    <t>LRI YE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</si>
  <si>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</si>
  <si>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</si>
  <si>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</si>
  <si>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</si>
  <si>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</si>
  <si>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</si>
  <si>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</si>
  <si>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</si>
  <si>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</si>
  <si>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</si>
  <si>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</si>
  <si>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</si>
  <si>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</si>
  <si>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</si>
  <si>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</si>
  <si>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</si>
  <si>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</si>
  <si>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</si>
  <si>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</si>
  <si>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</si>
  <si>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</si>
  <si>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</si>
  <si>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</si>
  <si>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</si>
  <si>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</si>
  <si>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</si>
  <si>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</si>
  <si>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</si>
  <si>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</si>
  <si>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</si>
  <si>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</si>
  <si>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</si>
  <si>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</si>
  <si>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</si>
  <si>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</si>
  <si>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</si>
  <si>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</si>
  <si>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</si>
  <si>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</si>
  <si>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</si>
  <si>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</si>
  <si>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</si>
  <si>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</si>
  <si>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</si>
  <si>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</si>
  <si>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</si>
  <si>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</si>
  <si>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</si>
  <si>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</si>
  <si>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</si>
  <si>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</si>
  <si>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</si>
  <si>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</si>
  <si>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</si>
  <si>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</si>
  <si>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</si>
  <si>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</si>
  <si>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</si>
  <si>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(416) 576-6312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</si>
  <si>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</si>
  <si>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</si>
  <si>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</si>
  <si>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</si>
  <si>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</si>
  <si>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</si>
  <si>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</si>
  <si>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</si>
  <si>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</si>
  <si>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</si>
  <si>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</si>
  <si>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</si>
  <si>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</si>
  <si>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</si>
  <si>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Joanna Xie</t>
  </si>
  <si>
    <t>Agent Services Coordinator</t>
  </si>
  <si>
    <t>joannaxie@livingrealtykw.com</t>
  </si>
  <si>
    <t>Cassandra Pacitto</t>
  </si>
  <si>
    <t>cassandrapacitto@livingrealtykw.com</t>
  </si>
  <si>
    <t>Juliana Monize</t>
  </si>
  <si>
    <t>julianamonize@livingrealtykw.com</t>
  </si>
  <si>
    <t>Francesco Armogida</t>
  </si>
  <si>
    <t>francescoarmogida@livingrealtykw.com</t>
  </si>
  <si>
    <t>Gus B</t>
  </si>
  <si>
    <t>gusb@livcontruction.ca</t>
  </si>
  <si>
    <t>Update Date: Apr 8, 2026</t>
  </si>
  <si>
    <t>Senior Technical Specialist &amp; System Architect</t>
  </si>
  <si>
    <t>Vice President, New Homes, Broker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</si>
</sst>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2" totalsRowShown="0">
  <autoFilter ref="A1:M82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c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printerSettings" Target="../printerSettings/printerSettings3.bin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ulianamonize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joannaxie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table" Target="../tables/table1.xm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1"/>
  <sheetViews>
    <sheetView showGridLines="0" topLeftCell="A43" zoomScale="96" zoomScaleNormal="96" workbookViewId="0">
      <selection activeCell="I1" sqref="A1:I77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314</v>
      </c>
    </row>
    <row r="2" spans="1:12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 s="10" t="s">
        <v>191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ContactData!E77</f>
        <v>Lunch Room</v>
      </c>
      <c r="I3">
        <f>ContactData!H77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ContactData!E78</f>
        <v>Markham Room</v>
      </c>
      <c r="I4">
        <f>ContactData!H78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ContactData!E79</f>
        <v>Mississauga Room</v>
      </c>
      <c r="I5">
        <f>ContactData!H79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ContactData!E80</f>
        <v>The Living Room</v>
      </c>
      <c r="I6">
        <f>ContactData!H80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ContactData!E81</f>
        <v>Toronto Room</v>
      </c>
      <c r="I7">
        <f>ContactData!H81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ContactData!E82</f>
        <v>York Room</v>
      </c>
      <c r="I8">
        <f>ContactData!H82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President,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  <c r="J25"/>
      <c r="K25"/>
      <c r="L25"/>
    </row>
    <row r="26" spans="1:12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  <c r="J34"/>
      <c r="K34"/>
      <c r="L34"/>
    </row>
    <row r="35" spans="1:12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  <c r="J36"/>
      <c r="K36"/>
      <c r="L36"/>
    </row>
    <row r="37" spans="1:12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  <c r="J37"/>
      <c r="K37"/>
      <c r="L37"/>
    </row>
    <row r="38" spans="1:12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  <c r="J40"/>
      <c r="K40"/>
      <c r="L40"/>
    </row>
    <row r="41" spans="1:12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  <c r="J43"/>
      <c r="K43"/>
      <c r="L43"/>
    </row>
    <row r="44" spans="1:12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  <c r="J58"/>
      <c r="K58"/>
      <c r="L58"/>
    </row>
    <row r="59" spans="1:12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  <c r="J59"/>
      <c r="K59"/>
      <c r="L59"/>
    </row>
    <row r="60" spans="1:12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  <c r="J61"/>
      <c r="K61"/>
      <c r="L61"/>
    </row>
    <row r="62" spans="1:12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  <c r="J75"/>
      <c r="K75"/>
      <c r="L75"/>
    </row>
    <row r="76" spans="1:12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  <c r="J76"/>
      <c r="K76"/>
      <c r="L76"/>
    </row>
    <row r="77" spans="1:12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  <c r="J77"/>
      <c r="K77"/>
      <c r="L77"/>
    </row>
    <row r="78" spans="1:12" ht="14.4" x14ac:dyDescent="0.3">
      <c r="A78" s="1"/>
      <c r="B78"/>
      <c r="C78"/>
      <c r="D78"/>
      <c r="E78"/>
      <c r="F78"/>
      <c r="G78"/>
      <c r="H78"/>
      <c r="I78"/>
      <c r="J78"/>
      <c r="K78"/>
      <c r="L78"/>
    </row>
    <row r="79" spans="1:12" ht="14.4" x14ac:dyDescent="0.3">
      <c r="A79" s="1"/>
      <c r="B79"/>
      <c r="C79"/>
      <c r="D79"/>
      <c r="E79"/>
      <c r="F79"/>
      <c r="G79"/>
      <c r="H79"/>
      <c r="I79"/>
      <c r="J79"/>
      <c r="K79"/>
      <c r="L79"/>
    </row>
    <row r="80" spans="1:12" ht="14.4" x14ac:dyDescent="0.3">
      <c r="A80" s="1"/>
      <c r="B80"/>
      <c r="C80"/>
      <c r="D80"/>
      <c r="E80"/>
      <c r="F80"/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</sheetData>
  <conditionalFormatting sqref="A3:A77 D3:D77">
    <cfRule type="containsBlanks" dxfId="31" priority="17">
      <formula>LEN(TRIM(A3))=0</formula>
    </cfRule>
  </conditionalFormatting>
  <conditionalFormatting sqref="B3:B77">
    <cfRule type="containsText" dxfId="30" priority="16" operator="containsText" text="Office">
      <formula>NOT(ISERROR(SEARCH("Office",B3)))</formula>
    </cfRule>
  </conditionalFormatting>
  <conditionalFormatting sqref="C3:C77">
    <cfRule type="containsText" dxfId="29" priority="15" operator="containsText" text="ON,">
      <formula>NOT(ISERROR(SEARCH("ON,",C3)))</formula>
    </cfRule>
  </conditionalFormatting>
  <conditionalFormatting sqref="E3:E77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77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5"/>
  <sheetViews>
    <sheetView showGridLines="0" topLeftCell="A51" workbookViewId="0">
      <selection activeCell="C83" sqref="C83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314</v>
      </c>
    </row>
    <row r="2" spans="1:9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President,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</row>
    <row r="16" spans="1:9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</row>
    <row r="17" spans="1:9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</row>
    <row r="18" spans="1:9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</row>
    <row r="19" spans="1:9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</row>
    <row r="20" spans="1:9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</row>
    <row r="21" spans="1:9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</row>
    <row r="22" spans="1:9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</row>
    <row r="23" spans="1:9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</row>
    <row r="24" spans="1:9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</row>
    <row r="26" spans="1:9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</row>
    <row r="27" spans="1:9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</row>
    <row r="30" spans="1:9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</row>
    <row r="31" spans="1:9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</row>
    <row r="34" spans="1:9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</row>
    <row r="35" spans="1:9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</row>
    <row r="36" spans="1:9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</row>
    <row r="37" spans="1:9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</row>
    <row r="38" spans="1:9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</row>
    <row r="39" spans="1:9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</row>
    <row r="40" spans="1:9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</row>
    <row r="41" spans="1:9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</row>
    <row r="44" spans="1:9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</row>
    <row r="45" spans="1:9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</row>
    <row r="46" spans="1:9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</row>
    <row r="47" spans="1:9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</row>
    <row r="48" spans="1:9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</row>
    <row r="49" spans="1:9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</row>
    <row r="50" spans="1:9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</row>
    <row r="51" spans="1:9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</row>
    <row r="52" spans="1:9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</row>
    <row r="53" spans="1:9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</row>
    <row r="54" spans="1:9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</row>
    <row r="55" spans="1:9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</row>
    <row r="56" spans="1:9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</row>
    <row r="57" spans="1:9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</row>
    <row r="58" spans="1:9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</row>
    <row r="59" spans="1:9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</row>
    <row r="60" spans="1:9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</row>
    <row r="62" spans="1:9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</row>
    <row r="63" spans="1:9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</row>
    <row r="64" spans="1:9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</row>
    <row r="73" spans="1:9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</row>
    <row r="74" spans="1:9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</row>
    <row r="75" spans="1:9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</row>
    <row r="76" spans="1:9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</row>
    <row r="77" spans="1:9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</row>
    <row r="78" spans="1:9" ht="14.4" x14ac:dyDescent="0.3">
      <c r="A78" s="1"/>
      <c r="B78"/>
      <c r="C78"/>
      <c r="D78"/>
      <c r="E78"/>
      <c r="F78"/>
      <c r="G78"/>
      <c r="H78"/>
      <c r="I78"/>
    </row>
    <row r="79" spans="1:9" ht="14.4" x14ac:dyDescent="0.3">
      <c r="A79" s="1"/>
      <c r="B79"/>
      <c r="C79"/>
      <c r="D79"/>
      <c r="E79"/>
      <c r="F79"/>
      <c r="G79"/>
      <c r="H79"/>
      <c r="I79"/>
    </row>
    <row r="80" spans="1:9" ht="14.4" x14ac:dyDescent="0.3">
      <c r="A80" s="1"/>
      <c r="B80"/>
      <c r="C80"/>
      <c r="D80"/>
      <c r="E80"/>
      <c r="F80"/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</sheetData>
  <conditionalFormatting sqref="A3:A77 D3:D77">
    <cfRule type="containsBlanks" dxfId="15" priority="18">
      <formula>LEN(TRIM(A3))=0</formula>
    </cfRule>
  </conditionalFormatting>
  <conditionalFormatting sqref="B3:B77">
    <cfRule type="containsText" dxfId="14" priority="16" operator="containsText" text="Office">
      <formula>NOT(ISERROR(SEARCH("Office",B3)))</formula>
    </cfRule>
  </conditionalFormatting>
  <conditionalFormatting sqref="C3:C77">
    <cfRule type="containsText" dxfId="13" priority="15" operator="containsText" text="ON,">
      <formula>NOT(ISERROR(SEARCH("ON,",C3)))</formula>
    </cfRule>
  </conditionalFormatting>
  <conditionalFormatting sqref="E3:E77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77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2"/>
  <sheetViews>
    <sheetView tabSelected="1" workbookViewId="0">
      <selection activeCell="G7" sqref="G7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165</v>
      </c>
      <c r="B1" t="s">
        <v>166</v>
      </c>
      <c r="C1" t="s">
        <v>167</v>
      </c>
      <c r="D1" t="s">
        <v>201</v>
      </c>
      <c r="E1" t="s">
        <v>168</v>
      </c>
      <c r="F1" t="s">
        <v>283</v>
      </c>
      <c r="G1" t="s">
        <v>149</v>
      </c>
      <c r="H1" t="s">
        <v>1</v>
      </c>
      <c r="I1" t="s">
        <v>169</v>
      </c>
      <c r="J1" t="s">
        <v>170</v>
      </c>
      <c r="K1" t="s">
        <v>5</v>
      </c>
      <c r="L1" t="s">
        <v>176</v>
      </c>
      <c r="M1" t="s">
        <v>192</v>
      </c>
    </row>
    <row r="2" spans="1:13" x14ac:dyDescent="0.3">
      <c r="A2" s="5">
        <v>1</v>
      </c>
      <c r="B2" t="s">
        <v>179</v>
      </c>
      <c r="C2" t="s">
        <v>171</v>
      </c>
      <c r="D2">
        <v>1</v>
      </c>
      <c r="E2" t="s">
        <v>8</v>
      </c>
      <c r="G2" t="s">
        <v>9</v>
      </c>
      <c r="H2" s="6" t="s">
        <v>195</v>
      </c>
      <c r="I2" s="6" t="s">
        <v>195</v>
      </c>
      <c r="J2" t="s">
        <v>10</v>
      </c>
      <c r="K2" s="12" t="s">
        <v>195</v>
      </c>
      <c r="L2" t="s">
        <v>158</v>
      </c>
      <c r="M2" t="str">
        <f t="shared" ref="M2:M30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179</v>
      </c>
      <c r="C3" t="s">
        <v>171</v>
      </c>
      <c r="D3">
        <v>1</v>
      </c>
      <c r="E3" t="s">
        <v>11</v>
      </c>
      <c r="F3" t="s">
        <v>284</v>
      </c>
      <c r="G3" t="s">
        <v>12</v>
      </c>
      <c r="H3">
        <v>500</v>
      </c>
      <c r="I3" s="6" t="s">
        <v>13</v>
      </c>
      <c r="J3" s="6" t="s">
        <v>196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179</v>
      </c>
      <c r="C4" t="s">
        <v>171</v>
      </c>
      <c r="D4">
        <v>1</v>
      </c>
      <c r="E4" t="s">
        <v>14</v>
      </c>
      <c r="F4" t="s">
        <v>284</v>
      </c>
      <c r="G4" t="s">
        <v>15</v>
      </c>
      <c r="H4">
        <v>511</v>
      </c>
      <c r="I4" t="s">
        <v>16</v>
      </c>
      <c r="J4" t="s">
        <v>197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179</v>
      </c>
      <c r="C5" t="s">
        <v>171</v>
      </c>
      <c r="D5">
        <v>1</v>
      </c>
      <c r="E5" t="s">
        <v>17</v>
      </c>
      <c r="F5" t="s">
        <v>284</v>
      </c>
      <c r="G5" t="s">
        <v>238</v>
      </c>
      <c r="H5">
        <v>228</v>
      </c>
      <c r="I5" t="s">
        <v>18</v>
      </c>
      <c r="J5" s="6" t="s">
        <v>13</v>
      </c>
      <c r="K5" s="4" t="s">
        <v>237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179</v>
      </c>
      <c r="C6" t="s">
        <v>171</v>
      </c>
      <c r="D6">
        <v>1</v>
      </c>
      <c r="E6" t="s">
        <v>208</v>
      </c>
      <c r="F6" t="s">
        <v>284</v>
      </c>
      <c r="G6" t="s">
        <v>239</v>
      </c>
      <c r="H6">
        <v>521</v>
      </c>
      <c r="I6" t="s">
        <v>24</v>
      </c>
      <c r="J6" t="s">
        <v>25</v>
      </c>
      <c r="K6" s="4" t="s">
        <v>244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179</v>
      </c>
      <c r="C7" t="s">
        <v>171</v>
      </c>
      <c r="D7">
        <v>1</v>
      </c>
      <c r="E7" t="s">
        <v>20</v>
      </c>
      <c r="F7" t="s">
        <v>284</v>
      </c>
      <c r="G7" t="s">
        <v>21</v>
      </c>
      <c r="H7">
        <v>165</v>
      </c>
      <c r="I7" t="s">
        <v>22</v>
      </c>
      <c r="J7" t="s">
        <v>154</v>
      </c>
      <c r="K7" s="4" t="s">
        <v>241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179</v>
      </c>
      <c r="C8" t="s">
        <v>171</v>
      </c>
      <c r="D8">
        <v>1</v>
      </c>
      <c r="E8" t="s">
        <v>27</v>
      </c>
      <c r="F8" t="s">
        <v>284</v>
      </c>
      <c r="G8" t="s">
        <v>262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179</v>
      </c>
      <c r="C9" t="s">
        <v>171</v>
      </c>
      <c r="D9">
        <v>1</v>
      </c>
      <c r="E9" t="s">
        <v>198</v>
      </c>
      <c r="F9" t="s">
        <v>284</v>
      </c>
      <c r="G9" t="s">
        <v>316</v>
      </c>
      <c r="H9" s="6" t="s">
        <v>13</v>
      </c>
      <c r="I9" t="s">
        <v>199</v>
      </c>
      <c r="J9" s="6" t="s">
        <v>13</v>
      </c>
      <c r="K9" s="4" t="s">
        <v>242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President, New Homes, Broker','---','(416) 669-0325','---','alancheung@livingrealtykw.com','Staff');</v>
      </c>
    </row>
    <row r="10" spans="1:13" x14ac:dyDescent="0.3">
      <c r="A10" s="5">
        <v>9</v>
      </c>
      <c r="B10" t="s">
        <v>179</v>
      </c>
      <c r="C10" t="s">
        <v>171</v>
      </c>
      <c r="D10">
        <v>1</v>
      </c>
      <c r="E10" t="s">
        <v>64</v>
      </c>
      <c r="F10" t="s">
        <v>284</v>
      </c>
      <c r="G10" t="s">
        <v>286</v>
      </c>
      <c r="H10" s="6" t="s">
        <v>13</v>
      </c>
      <c r="I10" t="s">
        <v>65</v>
      </c>
      <c r="J10" s="6" t="s">
        <v>13</v>
      </c>
      <c r="K10" s="4" t="s">
        <v>255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179</v>
      </c>
      <c r="C11" t="s">
        <v>171</v>
      </c>
      <c r="D11">
        <v>1</v>
      </c>
      <c r="E11" t="s">
        <v>219</v>
      </c>
      <c r="F11" t="s">
        <v>284</v>
      </c>
      <c r="G11" t="s">
        <v>161</v>
      </c>
      <c r="H11">
        <v>509</v>
      </c>
      <c r="I11" t="s">
        <v>220</v>
      </c>
      <c r="J11" s="6" t="s">
        <v>13</v>
      </c>
      <c r="K11" s="4" t="s">
        <v>218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179</v>
      </c>
      <c r="C12" t="s">
        <v>171</v>
      </c>
      <c r="D12">
        <v>1</v>
      </c>
      <c r="E12" t="s">
        <v>186</v>
      </c>
      <c r="G12" t="s">
        <v>240</v>
      </c>
      <c r="H12">
        <v>504</v>
      </c>
      <c r="I12" t="s">
        <v>188</v>
      </c>
      <c r="J12" t="s">
        <v>30</v>
      </c>
      <c r="K12" s="4" t="s">
        <v>285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179</v>
      </c>
      <c r="C13" t="s">
        <v>171</v>
      </c>
      <c r="D13">
        <v>1</v>
      </c>
      <c r="E13" t="s">
        <v>31</v>
      </c>
      <c r="F13" t="s">
        <v>284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179</v>
      </c>
      <c r="C14" t="s">
        <v>171</v>
      </c>
      <c r="D14">
        <v>1</v>
      </c>
      <c r="E14" t="s">
        <v>303</v>
      </c>
      <c r="F14" t="s">
        <v>284</v>
      </c>
      <c r="G14" t="s">
        <v>304</v>
      </c>
      <c r="H14">
        <v>282</v>
      </c>
      <c r="I14" s="6" t="s">
        <v>13</v>
      </c>
      <c r="J14" s="6" t="s">
        <v>13</v>
      </c>
      <c r="K14" s="4" t="s">
        <v>305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5" spans="1:13" x14ac:dyDescent="0.3">
      <c r="A15" s="5">
        <v>14</v>
      </c>
      <c r="B15" t="s">
        <v>179</v>
      </c>
      <c r="C15" t="s">
        <v>171</v>
      </c>
      <c r="D15">
        <v>1</v>
      </c>
      <c r="E15" t="s">
        <v>61</v>
      </c>
      <c r="F15" t="s">
        <v>284</v>
      </c>
      <c r="G15" t="s">
        <v>212</v>
      </c>
      <c r="H15">
        <v>123</v>
      </c>
      <c r="I15" s="6" t="s">
        <v>13</v>
      </c>
      <c r="J15" s="6" t="s">
        <v>13</v>
      </c>
      <c r="K15" s="4" t="s">
        <v>243</v>
      </c>
      <c r="L15" t="s">
        <v>160</v>
      </c>
      <c r="M15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6" spans="1:13" x14ac:dyDescent="0.3">
      <c r="A16" s="5">
        <v>15</v>
      </c>
      <c r="B16" t="s">
        <v>179</v>
      </c>
      <c r="C16" t="s">
        <v>171</v>
      </c>
      <c r="D16">
        <v>1</v>
      </c>
      <c r="E16" t="s">
        <v>23</v>
      </c>
      <c r="F16" t="s">
        <v>284</v>
      </c>
      <c r="G16" t="s">
        <v>225</v>
      </c>
      <c r="H16">
        <v>206</v>
      </c>
      <c r="I16" s="6" t="s">
        <v>13</v>
      </c>
      <c r="J16" s="6" t="s">
        <v>13</v>
      </c>
      <c r="K16" s="4" t="s">
        <v>263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7" spans="1:13" x14ac:dyDescent="0.3">
      <c r="A17" s="5">
        <v>16</v>
      </c>
      <c r="B17" t="s">
        <v>179</v>
      </c>
      <c r="C17" t="s">
        <v>171</v>
      </c>
      <c r="D17">
        <v>1</v>
      </c>
      <c r="E17" t="s">
        <v>39</v>
      </c>
      <c r="F17" t="s">
        <v>284</v>
      </c>
      <c r="G17" t="s">
        <v>40</v>
      </c>
      <c r="H17">
        <v>507</v>
      </c>
      <c r="I17" s="6" t="s">
        <v>13</v>
      </c>
      <c r="J17" t="s">
        <v>41</v>
      </c>
      <c r="K17" s="4" t="s">
        <v>245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8" spans="1:13" x14ac:dyDescent="0.3">
      <c r="A18" s="5">
        <v>17</v>
      </c>
      <c r="B18" t="s">
        <v>179</v>
      </c>
      <c r="C18" t="s">
        <v>171</v>
      </c>
      <c r="D18">
        <v>1</v>
      </c>
      <c r="E18" t="s">
        <v>42</v>
      </c>
      <c r="F18" t="s">
        <v>284</v>
      </c>
      <c r="G18" t="s">
        <v>37</v>
      </c>
      <c r="H18">
        <v>508</v>
      </c>
      <c r="I18" s="6" t="s">
        <v>13</v>
      </c>
      <c r="J18" t="s">
        <v>38</v>
      </c>
      <c r="K18" s="4" t="s">
        <v>246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19" spans="1:13" x14ac:dyDescent="0.3">
      <c r="A19" s="5">
        <v>18</v>
      </c>
      <c r="B19" t="s">
        <v>179</v>
      </c>
      <c r="C19" t="s">
        <v>171</v>
      </c>
      <c r="D19">
        <v>1</v>
      </c>
      <c r="E19" t="s">
        <v>77</v>
      </c>
      <c r="F19" t="s">
        <v>284</v>
      </c>
      <c r="G19" t="s">
        <v>37</v>
      </c>
      <c r="H19">
        <v>255</v>
      </c>
      <c r="I19" s="6" t="s">
        <v>13</v>
      </c>
      <c r="J19" s="6" t="s">
        <v>13</v>
      </c>
      <c r="K19" s="4" t="s">
        <v>247</v>
      </c>
      <c r="L19" t="s">
        <v>160</v>
      </c>
      <c r="M19" t="str">
        <f t="shared" ref="M19" si="5">"INSERT INTO `directory` (`order`, `office`, `displayname`, `title`, `ext`, `personalTel`, `directTel`, `email`, `contacttype`)  VALUES ('" &amp; A19 &amp; "','" &amp; D19 &amp; "','" &amp; E19 &amp; "','" &amp; G19 &amp; "','" &amp; H19 &amp; "','" &amp; I19 &amp;  "','" &amp; J19 &amp;  "','" &amp; K19 &amp;  "','" &amp; L19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0" spans="1:13" x14ac:dyDescent="0.3">
      <c r="A20" s="5">
        <v>19</v>
      </c>
      <c r="B20" t="s">
        <v>179</v>
      </c>
      <c r="C20" t="s">
        <v>171</v>
      </c>
      <c r="D20">
        <v>1</v>
      </c>
      <c r="E20" t="s">
        <v>272</v>
      </c>
      <c r="F20" t="s">
        <v>284</v>
      </c>
      <c r="G20" t="s">
        <v>163</v>
      </c>
      <c r="H20">
        <v>506</v>
      </c>
      <c r="I20" s="6" t="s">
        <v>13</v>
      </c>
      <c r="J20" t="s">
        <v>36</v>
      </c>
      <c r="K20" s="4" t="s">
        <v>273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1" spans="1:13" x14ac:dyDescent="0.3">
      <c r="A21" s="5">
        <v>20</v>
      </c>
      <c r="B21" t="s">
        <v>179</v>
      </c>
      <c r="C21" t="s">
        <v>171</v>
      </c>
      <c r="D21">
        <v>1</v>
      </c>
      <c r="E21" t="s">
        <v>43</v>
      </c>
      <c r="F21" t="s">
        <v>284</v>
      </c>
      <c r="G21" t="s">
        <v>44</v>
      </c>
      <c r="H21">
        <v>519</v>
      </c>
      <c r="I21" s="6" t="s">
        <v>13</v>
      </c>
      <c r="J21" t="s">
        <v>45</v>
      </c>
      <c r="K21" s="4" t="s">
        <v>248</v>
      </c>
      <c r="L21" t="s">
        <v>160</v>
      </c>
      <c r="M21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2" spans="1:13" x14ac:dyDescent="0.3">
      <c r="A22" s="5">
        <v>22</v>
      </c>
      <c r="B22" t="s">
        <v>179</v>
      </c>
      <c r="C22" t="s">
        <v>171</v>
      </c>
      <c r="D22">
        <v>1</v>
      </c>
      <c r="E22" t="s">
        <v>202</v>
      </c>
      <c r="F22" t="s">
        <v>284</v>
      </c>
      <c r="G22" t="s">
        <v>203</v>
      </c>
      <c r="H22">
        <v>121</v>
      </c>
      <c r="I22" s="6" t="s">
        <v>13</v>
      </c>
      <c r="J22" s="6" t="s">
        <v>13</v>
      </c>
      <c r="K22" s="4" t="s">
        <v>249</v>
      </c>
      <c r="L22" t="s">
        <v>160</v>
      </c>
      <c r="M22" t="str">
        <f t="shared" ref="M22" si="7">"INSERT INTO `directory` (`order`, `office`, `displayname`, `title`, `ext`, `personalTel`, `directTel`, `email`, `contacttype`)  VALUES ('" &amp; A22 &amp; "','" &amp; D22 &amp; "','" &amp; E22 &amp; "','" &amp; G22 &amp; "','" &amp; H22 &amp; "','" &amp; I22 &amp;  "','" &amp; J22 &amp;  "','" &amp; K22 &amp;  "','" &amp; L22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3" spans="1:13" x14ac:dyDescent="0.3">
      <c r="A23" s="5">
        <v>23</v>
      </c>
      <c r="B23" t="s">
        <v>179</v>
      </c>
      <c r="C23" t="s">
        <v>171</v>
      </c>
      <c r="D23">
        <v>1</v>
      </c>
      <c r="E23" t="s">
        <v>46</v>
      </c>
      <c r="F23" t="s">
        <v>284</v>
      </c>
      <c r="G23" t="s">
        <v>315</v>
      </c>
      <c r="H23">
        <v>522</v>
      </c>
      <c r="I23" t="s">
        <v>47</v>
      </c>
      <c r="J23" t="s">
        <v>48</v>
      </c>
      <c r="K23" s="4" t="s">
        <v>250</v>
      </c>
      <c r="L23" t="s">
        <v>160</v>
      </c>
      <c r="M23" t="str">
        <f t="shared" si="0"/>
        <v>INSERT INTO `directory` (`order`, `office`, `displayname`, `title`, `ext`, `personalTel`, `directTel`, `email`, `contacttype`)  VALUES ('23','1','Nelson Lau','Senior Technical Specialist &amp; System Architect','522','(647) 701-8828','(905) 752-3522','nelsonlau@livingrealtykw.com','Staff');</v>
      </c>
    </row>
    <row r="24" spans="1:13" x14ac:dyDescent="0.3">
      <c r="A24" s="5">
        <v>24</v>
      </c>
      <c r="B24" t="s">
        <v>179</v>
      </c>
      <c r="C24" t="s">
        <v>171</v>
      </c>
      <c r="D24">
        <v>1</v>
      </c>
      <c r="E24" t="s">
        <v>49</v>
      </c>
      <c r="G24" t="s">
        <v>50</v>
      </c>
      <c r="H24">
        <v>522</v>
      </c>
      <c r="I24" s="6" t="s">
        <v>13</v>
      </c>
      <c r="J24" t="s">
        <v>48</v>
      </c>
      <c r="K24" s="4" t="s">
        <v>251</v>
      </c>
      <c r="L24" t="s">
        <v>160</v>
      </c>
      <c r="M24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5" spans="1:13" x14ac:dyDescent="0.3">
      <c r="A25" s="5">
        <v>25</v>
      </c>
      <c r="B25" t="s">
        <v>51</v>
      </c>
      <c r="C25" t="s">
        <v>172</v>
      </c>
      <c r="D25">
        <v>2</v>
      </c>
      <c r="E25" t="s">
        <v>52</v>
      </c>
      <c r="F25" t="s">
        <v>284</v>
      </c>
      <c r="G25" t="s">
        <v>53</v>
      </c>
      <c r="H25" s="6" t="s">
        <v>195</v>
      </c>
      <c r="I25" s="6" t="s">
        <v>195</v>
      </c>
      <c r="J25" t="s">
        <v>54</v>
      </c>
      <c r="K25" s="4" t="s">
        <v>252</v>
      </c>
      <c r="L25" t="s">
        <v>158</v>
      </c>
      <c r="M25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6" spans="1:13" x14ac:dyDescent="0.3">
      <c r="A26" s="5">
        <v>26</v>
      </c>
      <c r="B26" t="s">
        <v>51</v>
      </c>
      <c r="C26" t="s">
        <v>172</v>
      </c>
      <c r="D26">
        <v>2</v>
      </c>
      <c r="E26" t="s">
        <v>55</v>
      </c>
      <c r="F26" t="s">
        <v>284</v>
      </c>
      <c r="G26" t="s">
        <v>56</v>
      </c>
      <c r="H26" s="6" t="s">
        <v>13</v>
      </c>
      <c r="I26" t="s">
        <v>57</v>
      </c>
      <c r="J26" s="6" t="s">
        <v>13</v>
      </c>
      <c r="K26" s="4" t="s">
        <v>253</v>
      </c>
      <c r="L26" t="s">
        <v>160</v>
      </c>
      <c r="M26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7" spans="1:13" x14ac:dyDescent="0.3">
      <c r="A27" s="5">
        <v>27</v>
      </c>
      <c r="B27" t="s">
        <v>51</v>
      </c>
      <c r="C27" t="s">
        <v>172</v>
      </c>
      <c r="D27">
        <v>2</v>
      </c>
      <c r="E27" t="s">
        <v>59</v>
      </c>
      <c r="F27" t="s">
        <v>284</v>
      </c>
      <c r="G27" t="s">
        <v>164</v>
      </c>
      <c r="H27" s="6" t="s">
        <v>13</v>
      </c>
      <c r="I27" s="6" t="s">
        <v>13</v>
      </c>
      <c r="J27" t="s">
        <v>58</v>
      </c>
      <c r="K27" s="4" t="s">
        <v>254</v>
      </c>
      <c r="L27" t="s">
        <v>160</v>
      </c>
      <c r="M27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8" spans="1:13" x14ac:dyDescent="0.3">
      <c r="A28" s="5">
        <v>28</v>
      </c>
      <c r="B28" t="s">
        <v>51</v>
      </c>
      <c r="C28" t="s">
        <v>172</v>
      </c>
      <c r="D28">
        <v>2</v>
      </c>
      <c r="E28" t="s">
        <v>224</v>
      </c>
      <c r="F28" t="s">
        <v>284</v>
      </c>
      <c r="G28" t="s">
        <v>60</v>
      </c>
      <c r="H28" s="6" t="s">
        <v>13</v>
      </c>
      <c r="I28" s="6" t="s">
        <v>13</v>
      </c>
      <c r="J28" t="s">
        <v>58</v>
      </c>
      <c r="K28" s="4" t="s">
        <v>261</v>
      </c>
      <c r="L28" t="s">
        <v>160</v>
      </c>
      <c r="M28" t="str">
        <f t="shared" ref="M28" si="8">"INSERT INTO `directory` (`order`, `office`, `displayname`, `title`, `ext`, `personalTel`, `directTel`, `email`, `contacttype`)  VALUES ('" &amp; A28 &amp; "','" &amp; D28 &amp; "','" &amp; E28 &amp; "','" &amp; G28 &amp; "','" &amp; H28 &amp; "','" &amp; I28 &amp;  "','" &amp; J28 &amp;  "','" &amp; K28 &amp;  "','" &amp; L28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29" spans="1:13" x14ac:dyDescent="0.3">
      <c r="A29" s="5">
        <v>29</v>
      </c>
      <c r="B29" t="s">
        <v>67</v>
      </c>
      <c r="C29" t="s">
        <v>173</v>
      </c>
      <c r="D29">
        <v>4</v>
      </c>
      <c r="E29" t="s">
        <v>68</v>
      </c>
      <c r="F29" t="s">
        <v>284</v>
      </c>
      <c r="G29" t="s">
        <v>152</v>
      </c>
      <c r="H29" s="6" t="s">
        <v>195</v>
      </c>
      <c r="I29" s="6" t="s">
        <v>195</v>
      </c>
      <c r="J29" t="s">
        <v>69</v>
      </c>
      <c r="K29" s="4" t="s">
        <v>256</v>
      </c>
      <c r="L29" t="s">
        <v>158</v>
      </c>
      <c r="M29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0" spans="1:13" x14ac:dyDescent="0.3">
      <c r="A30" s="5">
        <v>30</v>
      </c>
      <c r="B30" t="s">
        <v>67</v>
      </c>
      <c r="C30" t="s">
        <v>173</v>
      </c>
      <c r="D30">
        <v>4</v>
      </c>
      <c r="E30" t="s">
        <v>306</v>
      </c>
      <c r="F30" t="s">
        <v>284</v>
      </c>
      <c r="G30" t="s">
        <v>70</v>
      </c>
      <c r="H30" s="6" t="s">
        <v>13</v>
      </c>
      <c r="I30" t="s">
        <v>71</v>
      </c>
      <c r="J30" s="6" t="s">
        <v>13</v>
      </c>
      <c r="K30" s="4" t="s">
        <v>307</v>
      </c>
      <c r="L30" t="s">
        <v>160</v>
      </c>
      <c r="M30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1" spans="1:13" x14ac:dyDescent="0.3">
      <c r="A31" s="5">
        <v>32</v>
      </c>
      <c r="B31" t="s">
        <v>67</v>
      </c>
      <c r="C31" t="s">
        <v>173</v>
      </c>
      <c r="D31">
        <v>4</v>
      </c>
      <c r="E31" t="s">
        <v>276</v>
      </c>
      <c r="F31" t="s">
        <v>284</v>
      </c>
      <c r="G31" t="s">
        <v>60</v>
      </c>
      <c r="H31" s="6" t="s">
        <v>13</v>
      </c>
      <c r="I31" s="6" t="s">
        <v>13</v>
      </c>
      <c r="J31" t="s">
        <v>71</v>
      </c>
      <c r="K31" s="4" t="s">
        <v>277</v>
      </c>
      <c r="L31" t="s">
        <v>160</v>
      </c>
      <c r="M31" t="str">
        <f t="shared" ref="M31:M59" si="9">"INSERT INTO `directory` (`order`, `office`, `displayname`, `title`, `ext`, `personalTel`, `directTel`, `email`, `contacttype`)  VALUES ('" &amp; A31 &amp; "','" &amp; D31 &amp; "','" &amp; E31 &amp; "','" &amp; G31 &amp; "','" &amp; H31 &amp; "','" &amp; I31 &amp;  "','" &amp; J31 &amp;  "','" &amp; K31 &amp;  "','" &amp; L31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2" spans="1:13" x14ac:dyDescent="0.3">
      <c r="A32" s="5">
        <v>32</v>
      </c>
      <c r="B32" t="s">
        <v>67</v>
      </c>
      <c r="C32" t="s">
        <v>173</v>
      </c>
      <c r="D32">
        <v>4</v>
      </c>
      <c r="E32" t="s">
        <v>308</v>
      </c>
      <c r="F32" t="s">
        <v>284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309</v>
      </c>
      <c r="L32" t="s">
        <v>160</v>
      </c>
      <c r="M32" t="str">
        <f t="shared" ref="M3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3" spans="1:13" x14ac:dyDescent="0.3">
      <c r="A33" s="5">
        <v>33</v>
      </c>
      <c r="B33" t="s">
        <v>72</v>
      </c>
      <c r="C33" t="s">
        <v>175</v>
      </c>
      <c r="D33">
        <v>5</v>
      </c>
      <c r="E33" t="s">
        <v>73</v>
      </c>
      <c r="F33" t="s">
        <v>284</v>
      </c>
      <c r="G33" t="s">
        <v>9</v>
      </c>
      <c r="H33" s="6" t="s">
        <v>195</v>
      </c>
      <c r="I33" s="6" t="s">
        <v>195</v>
      </c>
      <c r="J33" t="s">
        <v>74</v>
      </c>
      <c r="K33" s="4" t="s">
        <v>257</v>
      </c>
      <c r="L33" t="s">
        <v>158</v>
      </c>
      <c r="M33" t="str">
        <f t="shared" si="9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4" spans="1:13" x14ac:dyDescent="0.3">
      <c r="A34" s="5">
        <v>34</v>
      </c>
      <c r="B34" t="s">
        <v>72</v>
      </c>
      <c r="C34" t="s">
        <v>175</v>
      </c>
      <c r="D34">
        <v>5</v>
      </c>
      <c r="E34" t="s">
        <v>76</v>
      </c>
      <c r="F34" t="s">
        <v>284</v>
      </c>
      <c r="G34" t="s">
        <v>75</v>
      </c>
      <c r="H34">
        <v>176</v>
      </c>
      <c r="I34" t="s">
        <v>174</v>
      </c>
      <c r="J34" s="6" t="s">
        <v>13</v>
      </c>
      <c r="K34" s="4" t="s">
        <v>258</v>
      </c>
      <c r="L34" t="s">
        <v>160</v>
      </c>
      <c r="M34" t="str">
        <f t="shared" si="9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5" spans="1:13" x14ac:dyDescent="0.3">
      <c r="A35" s="5">
        <v>36</v>
      </c>
      <c r="B35" t="s">
        <v>72</v>
      </c>
      <c r="C35" t="s">
        <v>175</v>
      </c>
      <c r="D35">
        <v>5</v>
      </c>
      <c r="E35" t="s">
        <v>79</v>
      </c>
      <c r="F35" t="s">
        <v>284</v>
      </c>
      <c r="G35" t="s">
        <v>60</v>
      </c>
      <c r="H35">
        <v>100</v>
      </c>
      <c r="I35" s="6" t="s">
        <v>13</v>
      </c>
      <c r="J35" t="s">
        <v>19</v>
      </c>
      <c r="K35" s="4" t="s">
        <v>260</v>
      </c>
      <c r="L35" t="s">
        <v>160</v>
      </c>
      <c r="M35" t="str">
        <f t="shared" si="9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6" spans="1:13" x14ac:dyDescent="0.3">
      <c r="A36" s="5">
        <v>37</v>
      </c>
      <c r="B36" t="s">
        <v>62</v>
      </c>
      <c r="C36" t="s">
        <v>229</v>
      </c>
      <c r="D36">
        <v>3</v>
      </c>
      <c r="E36" t="s">
        <v>228</v>
      </c>
      <c r="F36" t="s">
        <v>284</v>
      </c>
      <c r="G36" t="s">
        <v>221</v>
      </c>
      <c r="H36" s="6" t="s">
        <v>195</v>
      </c>
      <c r="I36" s="6" t="s">
        <v>195</v>
      </c>
      <c r="J36" t="s">
        <v>63</v>
      </c>
      <c r="K36" s="4" t="s">
        <v>264</v>
      </c>
      <c r="L36" t="s">
        <v>158</v>
      </c>
      <c r="M36" t="str">
        <f t="shared" si="9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7" spans="1:13" x14ac:dyDescent="0.3">
      <c r="A37" s="5">
        <v>38</v>
      </c>
      <c r="B37" t="s">
        <v>62</v>
      </c>
      <c r="C37" t="s">
        <v>229</v>
      </c>
      <c r="D37">
        <v>3</v>
      </c>
      <c r="E37" t="s">
        <v>310</v>
      </c>
      <c r="F37" t="s">
        <v>284</v>
      </c>
      <c r="G37" t="s">
        <v>287</v>
      </c>
      <c r="H37" s="6" t="s">
        <v>13</v>
      </c>
      <c r="I37" t="s">
        <v>288</v>
      </c>
      <c r="J37" s="6" t="s">
        <v>13</v>
      </c>
      <c r="K37" s="4" t="s">
        <v>311</v>
      </c>
      <c r="L37" t="s">
        <v>160</v>
      </c>
      <c r="M37" t="str">
        <f t="shared" si="9"/>
        <v>INSERT INTO `directory` (`order`, `office`, `displayname`, `title`, `ext`, `personalTel`, `directTel`, `email`, `contacttype`)  VALUES ('38','3','Francesco Armogida','Manager Yonge &amp; Eglinton','---','(416) 576-6312','---','francescoarmogida@livingrealtykw.com','Staff');</v>
      </c>
    </row>
    <row r="38" spans="1:13" x14ac:dyDescent="0.3">
      <c r="A38" s="5">
        <v>39</v>
      </c>
      <c r="B38" t="s">
        <v>62</v>
      </c>
      <c r="C38" t="s">
        <v>229</v>
      </c>
      <c r="D38">
        <v>3</v>
      </c>
      <c r="E38" t="s">
        <v>230</v>
      </c>
      <c r="F38" t="s">
        <v>284</v>
      </c>
      <c r="G38" t="s">
        <v>60</v>
      </c>
      <c r="H38" s="6" t="s">
        <v>13</v>
      </c>
      <c r="I38" s="6" t="s">
        <v>13</v>
      </c>
      <c r="J38" t="s">
        <v>66</v>
      </c>
      <c r="K38" s="4" t="s">
        <v>259</v>
      </c>
      <c r="L38" t="s">
        <v>160</v>
      </c>
      <c r="M38" t="str">
        <f t="shared" si="9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39" spans="1:13" x14ac:dyDescent="0.3">
      <c r="A39" s="5">
        <v>40</v>
      </c>
      <c r="B39" t="s">
        <v>177</v>
      </c>
      <c r="C39" t="s">
        <v>177</v>
      </c>
      <c r="D39">
        <v>7</v>
      </c>
      <c r="E39" t="s">
        <v>81</v>
      </c>
      <c r="G39" t="s">
        <v>82</v>
      </c>
      <c r="H39" s="6" t="s">
        <v>195</v>
      </c>
      <c r="I39" s="6" t="s">
        <v>195</v>
      </c>
      <c r="J39" t="s">
        <v>83</v>
      </c>
      <c r="K39" s="6" t="s">
        <v>195</v>
      </c>
      <c r="L39" t="s">
        <v>158</v>
      </c>
      <c r="M39" t="str">
        <f t="shared" si="9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0" spans="1:13" x14ac:dyDescent="0.3">
      <c r="A40" s="5">
        <v>41</v>
      </c>
      <c r="B40" t="s">
        <v>177</v>
      </c>
      <c r="C40" t="s">
        <v>177</v>
      </c>
      <c r="D40">
        <v>7</v>
      </c>
      <c r="E40" t="s">
        <v>17</v>
      </c>
      <c r="F40" t="s">
        <v>284</v>
      </c>
      <c r="G40" t="s">
        <v>84</v>
      </c>
      <c r="H40">
        <v>228</v>
      </c>
      <c r="I40" t="s">
        <v>18</v>
      </c>
      <c r="J40" s="6" t="s">
        <v>13</v>
      </c>
      <c r="K40" s="4" t="s">
        <v>237</v>
      </c>
      <c r="L40" t="s">
        <v>160</v>
      </c>
      <c r="M40" t="str">
        <f t="shared" si="9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1" spans="1:13" x14ac:dyDescent="0.3">
      <c r="A41" s="5">
        <v>42</v>
      </c>
      <c r="B41" t="s">
        <v>180</v>
      </c>
      <c r="C41" t="s">
        <v>178</v>
      </c>
      <c r="D41">
        <v>8</v>
      </c>
      <c r="E41" t="s">
        <v>86</v>
      </c>
      <c r="G41" t="s">
        <v>9</v>
      </c>
      <c r="H41" s="6" t="s">
        <v>195</v>
      </c>
      <c r="I41" s="6" t="s">
        <v>195</v>
      </c>
      <c r="J41" t="s">
        <v>87</v>
      </c>
      <c r="K41" s="6" t="s">
        <v>195</v>
      </c>
      <c r="L41" t="s">
        <v>158</v>
      </c>
      <c r="M41" t="str">
        <f t="shared" si="9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2" spans="1:13" x14ac:dyDescent="0.3">
      <c r="A42" s="5">
        <v>43</v>
      </c>
      <c r="B42" t="s">
        <v>180</v>
      </c>
      <c r="C42" t="s">
        <v>178</v>
      </c>
      <c r="D42">
        <v>8</v>
      </c>
      <c r="E42" t="s">
        <v>208</v>
      </c>
      <c r="G42" t="s">
        <v>15</v>
      </c>
      <c r="H42">
        <v>521</v>
      </c>
      <c r="I42" t="s">
        <v>24</v>
      </c>
      <c r="J42" t="s">
        <v>25</v>
      </c>
      <c r="K42" t="s">
        <v>26</v>
      </c>
      <c r="L42" t="s">
        <v>160</v>
      </c>
      <c r="M42" t="str">
        <f t="shared" si="9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3" spans="1:13" x14ac:dyDescent="0.3">
      <c r="A43" s="5">
        <v>44</v>
      </c>
      <c r="B43" t="s">
        <v>180</v>
      </c>
      <c r="C43" t="s">
        <v>178</v>
      </c>
      <c r="D43">
        <v>8</v>
      </c>
      <c r="E43" t="s">
        <v>31</v>
      </c>
      <c r="G43" t="s">
        <v>88</v>
      </c>
      <c r="H43">
        <v>514</v>
      </c>
      <c r="I43" t="s">
        <v>89</v>
      </c>
      <c r="J43" t="s">
        <v>33</v>
      </c>
      <c r="K43" t="s">
        <v>34</v>
      </c>
      <c r="L43" t="s">
        <v>160</v>
      </c>
      <c r="M43" t="str">
        <f t="shared" si="9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4" spans="1:13" x14ac:dyDescent="0.3">
      <c r="A44" s="5">
        <v>45</v>
      </c>
      <c r="B44" t="s">
        <v>180</v>
      </c>
      <c r="C44" t="s">
        <v>178</v>
      </c>
      <c r="D44">
        <v>8</v>
      </c>
      <c r="E44" t="s">
        <v>100</v>
      </c>
      <c r="G44" t="s">
        <v>200</v>
      </c>
      <c r="H44">
        <v>286</v>
      </c>
      <c r="I44" t="s">
        <v>101</v>
      </c>
      <c r="J44" s="6" t="s">
        <v>193</v>
      </c>
      <c r="K44" s="4" t="s">
        <v>102</v>
      </c>
      <c r="L44" t="s">
        <v>160</v>
      </c>
      <c r="M44" t="str">
        <f t="shared" si="9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5" spans="1:13" x14ac:dyDescent="0.3">
      <c r="A45" s="5">
        <v>47</v>
      </c>
      <c r="B45" t="s">
        <v>180</v>
      </c>
      <c r="C45" t="s">
        <v>178</v>
      </c>
      <c r="D45">
        <v>8</v>
      </c>
      <c r="E45" t="s">
        <v>90</v>
      </c>
      <c r="G45" t="s">
        <v>91</v>
      </c>
      <c r="H45">
        <v>512</v>
      </c>
      <c r="I45" t="s">
        <v>92</v>
      </c>
      <c r="J45" t="s">
        <v>93</v>
      </c>
      <c r="K45" t="s">
        <v>94</v>
      </c>
      <c r="L45" t="s">
        <v>160</v>
      </c>
      <c r="M45" t="str">
        <f t="shared" si="9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6" spans="1:13" x14ac:dyDescent="0.3">
      <c r="A46" s="5">
        <v>48</v>
      </c>
      <c r="B46" t="s">
        <v>180</v>
      </c>
      <c r="C46" t="s">
        <v>178</v>
      </c>
      <c r="D46">
        <v>8</v>
      </c>
      <c r="E46" t="s">
        <v>96</v>
      </c>
      <c r="G46" t="s">
        <v>91</v>
      </c>
      <c r="H46">
        <v>284</v>
      </c>
      <c r="I46" t="s">
        <v>97</v>
      </c>
      <c r="J46" t="s">
        <v>98</v>
      </c>
      <c r="K46" t="s">
        <v>99</v>
      </c>
      <c r="L46" t="s">
        <v>160</v>
      </c>
      <c r="M46" t="str">
        <f t="shared" si="9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47" spans="1:13" x14ac:dyDescent="0.3">
      <c r="A47" s="5">
        <v>49</v>
      </c>
      <c r="B47" t="s">
        <v>153</v>
      </c>
      <c r="C47" t="s">
        <v>184</v>
      </c>
      <c r="D47">
        <v>8</v>
      </c>
      <c r="E47" t="s">
        <v>206</v>
      </c>
      <c r="G47" t="s">
        <v>91</v>
      </c>
      <c r="H47" s="6">
        <v>517</v>
      </c>
      <c r="I47" s="6" t="s">
        <v>211</v>
      </c>
      <c r="J47" t="s">
        <v>95</v>
      </c>
      <c r="K47" s="4" t="s">
        <v>207</v>
      </c>
      <c r="L47" t="s">
        <v>160</v>
      </c>
      <c r="M47" t="str">
        <f>"INSERT INTO `directory` (`order`, `office`, `displayname`, `title`, `ext`, `personalTel`, `directTel`, `email`, `contacttype`)  VALUES ('" &amp; A47 &amp; "','" &amp; D47 &amp; "','" &amp; E47 &amp; "','" &amp; G47 &amp; "','" &amp; H47 &amp; "','" &amp; I47 &amp;  "','" &amp; J47 &amp;  "','" &amp; K47 &amp;  "','" &amp; L47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48" spans="1:13" x14ac:dyDescent="0.3">
      <c r="A48" s="5">
        <v>50</v>
      </c>
      <c r="B48" t="s">
        <v>153</v>
      </c>
      <c r="C48" t="s">
        <v>184</v>
      </c>
      <c r="D48">
        <v>8</v>
      </c>
      <c r="E48" t="s">
        <v>280</v>
      </c>
      <c r="G48" t="s">
        <v>91</v>
      </c>
      <c r="H48" s="6">
        <v>520</v>
      </c>
      <c r="I48" s="6" t="s">
        <v>282</v>
      </c>
      <c r="J48" t="s">
        <v>95</v>
      </c>
      <c r="K48" s="4" t="s">
        <v>281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49" spans="1:13" x14ac:dyDescent="0.3">
      <c r="A49" s="5">
        <v>51</v>
      </c>
      <c r="B49" t="s">
        <v>180</v>
      </c>
      <c r="C49" t="s">
        <v>178</v>
      </c>
      <c r="D49">
        <v>8</v>
      </c>
      <c r="E49" t="s">
        <v>289</v>
      </c>
      <c r="G49" t="s">
        <v>233</v>
      </c>
      <c r="H49">
        <v>168</v>
      </c>
      <c r="I49" s="6" t="s">
        <v>291</v>
      </c>
      <c r="J49" t="s">
        <v>95</v>
      </c>
      <c r="K49" s="4" t="s">
        <v>290</v>
      </c>
      <c r="L49" t="s">
        <v>160</v>
      </c>
      <c r="M49" t="str">
        <f t="shared" ref="M49" si="11"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0" spans="1:13" x14ac:dyDescent="0.3">
      <c r="A50" s="5">
        <v>52</v>
      </c>
      <c r="B50" t="s">
        <v>180</v>
      </c>
      <c r="C50" t="s">
        <v>178</v>
      </c>
      <c r="D50">
        <v>8</v>
      </c>
      <c r="E50" t="s">
        <v>110</v>
      </c>
      <c r="G50" t="s">
        <v>35</v>
      </c>
      <c r="H50">
        <v>210</v>
      </c>
      <c r="I50" s="6" t="s">
        <v>13</v>
      </c>
      <c r="J50" s="6" t="s">
        <v>13</v>
      </c>
      <c r="K50" t="s">
        <v>111</v>
      </c>
      <c r="L50" t="s">
        <v>160</v>
      </c>
      <c r="M50" t="str">
        <f t="shared" si="9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1" spans="1:13" x14ac:dyDescent="0.3">
      <c r="A51" s="5">
        <v>53</v>
      </c>
      <c r="B51" t="s">
        <v>180</v>
      </c>
      <c r="C51" t="s">
        <v>178</v>
      </c>
      <c r="D51">
        <v>8</v>
      </c>
      <c r="E51" t="s">
        <v>103</v>
      </c>
      <c r="G51" t="s">
        <v>275</v>
      </c>
      <c r="H51">
        <v>518</v>
      </c>
      <c r="I51" s="6" t="s">
        <v>13</v>
      </c>
      <c r="J51" t="s">
        <v>156</v>
      </c>
      <c r="K51" t="s">
        <v>104</v>
      </c>
      <c r="L51" t="s">
        <v>160</v>
      </c>
      <c r="M51" t="str">
        <f t="shared" ref="M51" si="12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2" spans="1:13" x14ac:dyDescent="0.3">
      <c r="A52" s="5">
        <v>54</v>
      </c>
      <c r="B52" t="s">
        <v>180</v>
      </c>
      <c r="C52" t="s">
        <v>178</v>
      </c>
      <c r="D52">
        <v>8</v>
      </c>
      <c r="E52" t="s">
        <v>209</v>
      </c>
      <c r="G52" t="s">
        <v>181</v>
      </c>
      <c r="H52">
        <v>281</v>
      </c>
      <c r="I52" s="6" t="s">
        <v>13</v>
      </c>
      <c r="J52" s="6" t="s">
        <v>13</v>
      </c>
      <c r="K52" s="4" t="s">
        <v>210</v>
      </c>
      <c r="L52" t="s">
        <v>160</v>
      </c>
      <c r="M52" t="str">
        <f t="shared" ref="M52" si="13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3" spans="1:13" x14ac:dyDescent="0.3">
      <c r="A53" s="5">
        <v>55</v>
      </c>
      <c r="B53" t="s">
        <v>180</v>
      </c>
      <c r="C53" t="s">
        <v>178</v>
      </c>
      <c r="D53">
        <v>8</v>
      </c>
      <c r="E53" t="s">
        <v>105</v>
      </c>
      <c r="G53" t="s">
        <v>108</v>
      </c>
      <c r="H53">
        <v>523</v>
      </c>
      <c r="I53" s="6" t="s">
        <v>13</v>
      </c>
      <c r="J53" t="s">
        <v>157</v>
      </c>
      <c r="K53" t="s">
        <v>107</v>
      </c>
      <c r="L53" t="s">
        <v>160</v>
      </c>
      <c r="M53" t="str">
        <f t="shared" si="9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4" spans="1:13" x14ac:dyDescent="0.3">
      <c r="A54" s="5">
        <v>56</v>
      </c>
      <c r="B54" t="s">
        <v>180</v>
      </c>
      <c r="C54" t="s">
        <v>178</v>
      </c>
      <c r="D54">
        <v>8</v>
      </c>
      <c r="E54" t="s">
        <v>204</v>
      </c>
      <c r="G54" t="s">
        <v>274</v>
      </c>
      <c r="H54">
        <v>223</v>
      </c>
      <c r="I54" s="6" t="s">
        <v>13</v>
      </c>
      <c r="J54" s="6" t="s">
        <v>13</v>
      </c>
      <c r="K54" s="4" t="s">
        <v>205</v>
      </c>
      <c r="L54" t="s">
        <v>160</v>
      </c>
      <c r="M54" t="str">
        <f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5" spans="1:13" x14ac:dyDescent="0.3">
      <c r="A55" s="5">
        <v>57</v>
      </c>
      <c r="B55" t="s">
        <v>180</v>
      </c>
      <c r="C55" t="s">
        <v>178</v>
      </c>
      <c r="D55">
        <v>8</v>
      </c>
      <c r="E55" t="s">
        <v>234</v>
      </c>
      <c r="G55" t="s">
        <v>109</v>
      </c>
      <c r="H55">
        <v>172</v>
      </c>
      <c r="I55" s="6" t="s">
        <v>13</v>
      </c>
      <c r="J55" s="6" t="s">
        <v>13</v>
      </c>
      <c r="K55" s="4" t="s">
        <v>235</v>
      </c>
      <c r="L55" t="s">
        <v>160</v>
      </c>
      <c r="M55" t="str">
        <f t="shared" ref="M55" si="14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6" spans="1:13" x14ac:dyDescent="0.3">
      <c r="A56" s="5">
        <v>58</v>
      </c>
      <c r="B56" t="s">
        <v>180</v>
      </c>
      <c r="C56" t="s">
        <v>178</v>
      </c>
      <c r="D56">
        <v>8</v>
      </c>
      <c r="E56" t="s">
        <v>278</v>
      </c>
      <c r="G56" t="s">
        <v>109</v>
      </c>
      <c r="H56">
        <v>182</v>
      </c>
      <c r="I56" s="6" t="s">
        <v>13</v>
      </c>
      <c r="J56" s="6" t="s">
        <v>13</v>
      </c>
      <c r="K56" s="4" t="s">
        <v>279</v>
      </c>
      <c r="L56" t="s">
        <v>160</v>
      </c>
      <c r="M56" t="str">
        <f t="shared" ref="M56:M57" si="15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57" spans="1:13" x14ac:dyDescent="0.3">
      <c r="A57" s="5">
        <v>60</v>
      </c>
      <c r="B57" t="s">
        <v>180</v>
      </c>
      <c r="C57" t="s">
        <v>178</v>
      </c>
      <c r="D57">
        <v>8</v>
      </c>
      <c r="E57" t="s">
        <v>155</v>
      </c>
      <c r="G57" t="s">
        <v>106</v>
      </c>
      <c r="H57">
        <v>229</v>
      </c>
      <c r="I57" s="6" t="s">
        <v>13</v>
      </c>
      <c r="J57" s="6" t="s">
        <v>13</v>
      </c>
      <c r="K57" t="s">
        <v>112</v>
      </c>
      <c r="L57" t="s">
        <v>160</v>
      </c>
      <c r="M57" t="str">
        <f t="shared" si="15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58" spans="1:13" x14ac:dyDescent="0.3">
      <c r="A58" s="5">
        <v>59</v>
      </c>
      <c r="B58" t="s">
        <v>180</v>
      </c>
      <c r="C58" t="s">
        <v>178</v>
      </c>
      <c r="D58">
        <v>8</v>
      </c>
      <c r="E58" t="s">
        <v>312</v>
      </c>
      <c r="G58" t="s">
        <v>182</v>
      </c>
      <c r="H58" s="6" t="s">
        <v>13</v>
      </c>
      <c r="I58" s="6" t="s">
        <v>13</v>
      </c>
      <c r="J58" t="s">
        <v>95</v>
      </c>
      <c r="K58" s="4" t="s">
        <v>313</v>
      </c>
      <c r="L58" t="s">
        <v>160</v>
      </c>
      <c r="M58" t="str">
        <f t="shared" si="9"/>
        <v>INSERT INTO `directory` (`order`, `office`, `displayname`, `title`, `ext`, `personalTel`, `directTel`, `email`, `contacttype`)  VALUES ('59','8','Gus B','Handyman','---','---','(905) 477-2090','gusb@livcontruction.ca','Staff');</v>
      </c>
    </row>
    <row r="59" spans="1:13" x14ac:dyDescent="0.3">
      <c r="A59" s="5">
        <v>61</v>
      </c>
      <c r="B59" t="s">
        <v>113</v>
      </c>
      <c r="C59" t="s">
        <v>183</v>
      </c>
      <c r="D59">
        <v>9</v>
      </c>
      <c r="E59" t="s">
        <v>114</v>
      </c>
      <c r="G59" t="s">
        <v>115</v>
      </c>
      <c r="H59" s="6" t="s">
        <v>195</v>
      </c>
      <c r="I59" s="6" t="s">
        <v>195</v>
      </c>
      <c r="J59" t="s">
        <v>116</v>
      </c>
      <c r="K59" s="6" t="s">
        <v>195</v>
      </c>
      <c r="L59" t="s">
        <v>158</v>
      </c>
      <c r="M59" t="str">
        <f t="shared" si="9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0" spans="1:13" x14ac:dyDescent="0.3">
      <c r="A60" s="5">
        <v>62</v>
      </c>
      <c r="B60" t="s">
        <v>113</v>
      </c>
      <c r="C60" t="s">
        <v>183</v>
      </c>
      <c r="D60">
        <v>9</v>
      </c>
      <c r="E60" t="s">
        <v>117</v>
      </c>
      <c r="G60" t="s">
        <v>91</v>
      </c>
      <c r="H60" s="6" t="s">
        <v>13</v>
      </c>
      <c r="I60" t="s">
        <v>118</v>
      </c>
      <c r="J60" t="s">
        <v>119</v>
      </c>
      <c r="K60" t="s">
        <v>120</v>
      </c>
      <c r="L60" t="s">
        <v>160</v>
      </c>
      <c r="M60" t="str">
        <f t="shared" ref="M60:M82" si="16">"INSERT INTO `directory` (`order`, `office`, `displayname`, `title`, `ext`, `personalTel`, `directTel`, `email`, `contacttype`)  VALUES ('" &amp; A60 &amp; "','" &amp; D60 &amp; "','" &amp; E60 &amp; "','" &amp; G60 &amp; "','" &amp; H60 &amp; "','" &amp; I60 &amp;  "','" &amp; J60 &amp;  "','" &amp; K60 &amp;  "','" &amp; L60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1" spans="1:13" x14ac:dyDescent="0.3">
      <c r="A61" s="5">
        <v>63</v>
      </c>
      <c r="B61" t="s">
        <v>113</v>
      </c>
      <c r="C61" t="s">
        <v>183</v>
      </c>
      <c r="D61">
        <v>9</v>
      </c>
      <c r="E61" t="s">
        <v>121</v>
      </c>
      <c r="G61" t="s">
        <v>122</v>
      </c>
      <c r="H61" s="6" t="s">
        <v>13</v>
      </c>
      <c r="I61" s="6" t="s">
        <v>13</v>
      </c>
      <c r="J61" t="s">
        <v>119</v>
      </c>
      <c r="K61" t="s">
        <v>123</v>
      </c>
      <c r="L61" t="s">
        <v>160</v>
      </c>
      <c r="M61" t="str">
        <f t="shared" si="16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2" spans="1:13" x14ac:dyDescent="0.3">
      <c r="A62" s="5">
        <v>64</v>
      </c>
      <c r="B62" t="s">
        <v>113</v>
      </c>
      <c r="C62" t="s">
        <v>183</v>
      </c>
      <c r="D62">
        <v>9</v>
      </c>
      <c r="E62" t="s">
        <v>292</v>
      </c>
      <c r="G62" t="s">
        <v>295</v>
      </c>
      <c r="H62" s="6" t="s">
        <v>13</v>
      </c>
      <c r="I62" s="6" t="s">
        <v>13</v>
      </c>
      <c r="J62" s="6" t="s">
        <v>296</v>
      </c>
      <c r="K62" s="6" t="s">
        <v>13</v>
      </c>
      <c r="M62" t="str">
        <f>"INSERT INTO `directory` (`order`, `office`, `displayname`, `title`, `ext`, `personalTel`, `directTel`, `email`, `contacttype`)  VALUES ('" &amp; A62 &amp; "','" &amp; D62 &amp; "','" &amp; E62 &amp; "','" &amp; G62 &amp; "','" &amp; H62 &amp; "','" &amp; I62 &amp;  "','" &amp; J62 &amp;  "','" &amp; K62 &amp;  "','" &amp; L62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3" spans="1:13" x14ac:dyDescent="0.3">
      <c r="A63" s="5">
        <v>65</v>
      </c>
      <c r="B63" t="s">
        <v>138</v>
      </c>
      <c r="C63" t="s">
        <v>185</v>
      </c>
      <c r="D63">
        <v>11</v>
      </c>
      <c r="E63" t="s">
        <v>139</v>
      </c>
      <c r="G63" t="s">
        <v>140</v>
      </c>
      <c r="H63" s="6" t="s">
        <v>195</v>
      </c>
      <c r="I63" s="6" t="s">
        <v>195</v>
      </c>
      <c r="J63" t="s">
        <v>141</v>
      </c>
      <c r="K63" s="4" t="s">
        <v>222</v>
      </c>
      <c r="L63" t="s">
        <v>158</v>
      </c>
      <c r="M63" t="str">
        <f t="shared" si="16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4" spans="1:13" x14ac:dyDescent="0.3">
      <c r="A64" s="5">
        <v>66</v>
      </c>
      <c r="B64" t="s">
        <v>138</v>
      </c>
      <c r="C64" t="s">
        <v>185</v>
      </c>
      <c r="D64">
        <v>11</v>
      </c>
      <c r="E64" t="s">
        <v>226</v>
      </c>
      <c r="G64" t="s">
        <v>91</v>
      </c>
      <c r="H64" s="6" t="s">
        <v>13</v>
      </c>
      <c r="I64" t="s">
        <v>223</v>
      </c>
      <c r="J64" t="s">
        <v>142</v>
      </c>
      <c r="K64" s="4" t="s">
        <v>236</v>
      </c>
      <c r="L64" t="s">
        <v>160</v>
      </c>
      <c r="M64" t="str">
        <f t="shared" si="16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5" spans="1:13" x14ac:dyDescent="0.3">
      <c r="A65" s="5">
        <v>67</v>
      </c>
      <c r="B65" t="s">
        <v>138</v>
      </c>
      <c r="C65" t="s">
        <v>185</v>
      </c>
      <c r="D65">
        <v>11</v>
      </c>
      <c r="E65" t="s">
        <v>292</v>
      </c>
      <c r="G65" t="s">
        <v>301</v>
      </c>
      <c r="H65" s="6" t="s">
        <v>13</v>
      </c>
      <c r="I65" s="6" t="s">
        <v>13</v>
      </c>
      <c r="J65" s="13" t="s">
        <v>299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6" spans="1:13" x14ac:dyDescent="0.3">
      <c r="A66" s="5">
        <v>68</v>
      </c>
      <c r="B66" t="s">
        <v>297</v>
      </c>
      <c r="C66" t="s">
        <v>298</v>
      </c>
      <c r="D66">
        <v>12</v>
      </c>
      <c r="E66" t="s">
        <v>265</v>
      </c>
      <c r="G66" t="s">
        <v>267</v>
      </c>
      <c r="H66" s="6" t="s">
        <v>195</v>
      </c>
      <c r="I66" s="6" t="s">
        <v>195</v>
      </c>
      <c r="J66" t="s">
        <v>268</v>
      </c>
      <c r="K66" s="6" t="s">
        <v>195</v>
      </c>
      <c r="L66" t="s">
        <v>158</v>
      </c>
      <c r="M66" t="str">
        <f t="shared" ref="M66:M67" si="17"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67" spans="1:13" x14ac:dyDescent="0.3">
      <c r="A67" s="5">
        <v>69</v>
      </c>
      <c r="B67" t="s">
        <v>297</v>
      </c>
      <c r="C67" t="s">
        <v>298</v>
      </c>
      <c r="D67">
        <v>12</v>
      </c>
      <c r="E67" t="s">
        <v>266</v>
      </c>
      <c r="G67" t="s">
        <v>91</v>
      </c>
      <c r="H67" s="6" t="s">
        <v>13</v>
      </c>
      <c r="I67" t="s">
        <v>270</v>
      </c>
      <c r="J67" t="s">
        <v>269</v>
      </c>
      <c r="K67" s="4" t="s">
        <v>271</v>
      </c>
      <c r="L67" t="s">
        <v>160</v>
      </c>
      <c r="M67" t="str">
        <f t="shared" si="17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68" spans="1:13" x14ac:dyDescent="0.3">
      <c r="A68" s="5">
        <v>70</v>
      </c>
      <c r="B68" t="s">
        <v>297</v>
      </c>
      <c r="C68" t="s">
        <v>298</v>
      </c>
      <c r="D68">
        <v>12</v>
      </c>
      <c r="E68" t="s">
        <v>292</v>
      </c>
      <c r="G68" t="s">
        <v>302</v>
      </c>
      <c r="H68" s="6" t="s">
        <v>13</v>
      </c>
      <c r="I68" s="6" t="s">
        <v>13</v>
      </c>
      <c r="J68" t="s">
        <v>300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69" spans="1:13" x14ac:dyDescent="0.3">
      <c r="A69" s="5">
        <v>71</v>
      </c>
      <c r="B69" t="s">
        <v>213</v>
      </c>
      <c r="C69" t="s">
        <v>214</v>
      </c>
      <c r="D69">
        <v>13</v>
      </c>
      <c r="E69" t="s">
        <v>216</v>
      </c>
      <c r="G69" t="s">
        <v>217</v>
      </c>
      <c r="H69" s="6" t="s">
        <v>195</v>
      </c>
      <c r="I69" s="6" t="s">
        <v>195</v>
      </c>
      <c r="J69" s="6" t="s">
        <v>232</v>
      </c>
      <c r="K69" s="6" t="s">
        <v>195</v>
      </c>
      <c r="L69" t="s">
        <v>158</v>
      </c>
      <c r="M69" t="str">
        <f t="shared" si="16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0" spans="1:13" x14ac:dyDescent="0.3">
      <c r="A70" s="5">
        <v>72</v>
      </c>
      <c r="B70" t="s">
        <v>213</v>
      </c>
      <c r="C70" t="s">
        <v>214</v>
      </c>
      <c r="D70">
        <v>13</v>
      </c>
      <c r="E70" t="s">
        <v>206</v>
      </c>
      <c r="G70" t="s">
        <v>91</v>
      </c>
      <c r="H70" s="6" t="s">
        <v>13</v>
      </c>
      <c r="I70" s="6" t="s">
        <v>211</v>
      </c>
      <c r="J70" t="s">
        <v>95</v>
      </c>
      <c r="K70" s="4" t="s">
        <v>207</v>
      </c>
      <c r="L70" t="s">
        <v>160</v>
      </c>
      <c r="M70" t="str">
        <f>"INSERT INTO `directory` (`order`, `office`, `displayname`, `title`, `ext`, `personalTel`, `directTel`, `email`, `contacttype`)  VALUES ('" &amp; A70 &amp; "','" &amp; D70 &amp; "','" &amp; E70 &amp; "','" &amp; G70 &amp; "','" &amp; H70 &amp; "','" &amp; I70 &amp;  "','" &amp; J70 &amp;  "','" &amp; K70 &amp;  "','" &amp; L70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1" spans="1:13" x14ac:dyDescent="0.3">
      <c r="A71" s="5">
        <v>73</v>
      </c>
      <c r="B71" t="s">
        <v>213</v>
      </c>
      <c r="C71" t="s">
        <v>214</v>
      </c>
      <c r="D71">
        <v>13</v>
      </c>
      <c r="E71" t="s">
        <v>231</v>
      </c>
      <c r="G71" t="s">
        <v>109</v>
      </c>
      <c r="H71" s="6" t="s">
        <v>13</v>
      </c>
      <c r="I71" s="6" t="s">
        <v>227</v>
      </c>
      <c r="J71" s="6" t="s">
        <v>13</v>
      </c>
      <c r="K71" s="4" t="s">
        <v>215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2" spans="1:13" x14ac:dyDescent="0.3">
      <c r="A72" s="5">
        <v>74</v>
      </c>
      <c r="B72" t="s">
        <v>213</v>
      </c>
      <c r="C72" t="s">
        <v>214</v>
      </c>
      <c r="D72">
        <v>13</v>
      </c>
      <c r="E72" t="s">
        <v>292</v>
      </c>
      <c r="G72" t="s">
        <v>293</v>
      </c>
      <c r="H72" s="6" t="s">
        <v>13</v>
      </c>
      <c r="I72" s="6" t="s">
        <v>13</v>
      </c>
      <c r="J72" s="6" t="s">
        <v>294</v>
      </c>
      <c r="K72" s="6" t="s">
        <v>13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3" spans="1:13" x14ac:dyDescent="0.3">
      <c r="A73" s="5">
        <v>75</v>
      </c>
      <c r="B73" t="s">
        <v>125</v>
      </c>
      <c r="C73" t="s">
        <v>125</v>
      </c>
      <c r="D73">
        <v>14</v>
      </c>
      <c r="E73" t="s">
        <v>126</v>
      </c>
      <c r="G73" t="s">
        <v>9</v>
      </c>
      <c r="H73" s="6" t="s">
        <v>195</v>
      </c>
      <c r="I73" s="6" t="s">
        <v>195</v>
      </c>
      <c r="J73" t="s">
        <v>127</v>
      </c>
      <c r="K73" t="s">
        <v>128</v>
      </c>
      <c r="L73" t="s">
        <v>158</v>
      </c>
      <c r="M73" t="str">
        <f t="shared" si="16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4" spans="1:13" x14ac:dyDescent="0.3">
      <c r="A74" s="5">
        <v>76</v>
      </c>
      <c r="B74" t="s">
        <v>125</v>
      </c>
      <c r="C74" t="s">
        <v>125</v>
      </c>
      <c r="D74">
        <v>14</v>
      </c>
      <c r="E74" t="s">
        <v>129</v>
      </c>
      <c r="G74" t="s">
        <v>130</v>
      </c>
      <c r="H74" s="6" t="s">
        <v>195</v>
      </c>
      <c r="I74" s="6" t="s">
        <v>195</v>
      </c>
      <c r="J74" t="s">
        <v>131</v>
      </c>
      <c r="K74" s="4" t="s">
        <v>132</v>
      </c>
      <c r="L74" t="s">
        <v>158</v>
      </c>
      <c r="M74" t="str">
        <f t="shared" si="16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5" spans="1:13" x14ac:dyDescent="0.3">
      <c r="A75" s="5">
        <v>77</v>
      </c>
      <c r="B75" t="s">
        <v>125</v>
      </c>
      <c r="C75" t="s">
        <v>125</v>
      </c>
      <c r="D75">
        <v>14</v>
      </c>
      <c r="E75" t="s">
        <v>186</v>
      </c>
      <c r="G75" t="s">
        <v>187</v>
      </c>
      <c r="H75">
        <v>120</v>
      </c>
      <c r="I75" t="s">
        <v>188</v>
      </c>
      <c r="J75" t="s">
        <v>133</v>
      </c>
      <c r="K75" s="4" t="s">
        <v>189</v>
      </c>
      <c r="L75" t="s">
        <v>160</v>
      </c>
      <c r="M75" t="str">
        <f t="shared" si="16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6" spans="1:13" x14ac:dyDescent="0.3">
      <c r="A76" s="5">
        <v>78</v>
      </c>
      <c r="B76" t="s">
        <v>125</v>
      </c>
      <c r="C76" t="s">
        <v>125</v>
      </c>
      <c r="D76">
        <v>14</v>
      </c>
      <c r="E76" t="s">
        <v>134</v>
      </c>
      <c r="G76" t="s">
        <v>190</v>
      </c>
      <c r="H76">
        <v>187</v>
      </c>
      <c r="I76" t="s">
        <v>135</v>
      </c>
      <c r="J76" s="6" t="s">
        <v>13</v>
      </c>
      <c r="K76" s="4" t="s">
        <v>136</v>
      </c>
      <c r="L76" t="s">
        <v>160</v>
      </c>
      <c r="M76" t="str">
        <f t="shared" si="16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77" spans="1:13" x14ac:dyDescent="0.3">
      <c r="A77" s="5">
        <v>79</v>
      </c>
      <c r="B77" t="s">
        <v>179</v>
      </c>
      <c r="C77" t="s">
        <v>171</v>
      </c>
      <c r="D77">
        <v>1</v>
      </c>
      <c r="E77" t="s">
        <v>143</v>
      </c>
      <c r="G77" t="s">
        <v>191</v>
      </c>
      <c r="H77">
        <v>541</v>
      </c>
      <c r="I77" s="6" t="s">
        <v>13</v>
      </c>
      <c r="J77" s="6" t="s">
        <v>13</v>
      </c>
      <c r="K77" s="6" t="s">
        <v>193</v>
      </c>
      <c r="L77" t="s">
        <v>191</v>
      </c>
      <c r="M77" t="str">
        <f t="shared" si="16"/>
        <v>INSERT INTO `directory` (`order`, `office`, `displayname`, `title`, `ext`, `personalTel`, `directTel`, `email`, `contacttype`)  VALUES ('79','1','Lunch Room','Meeting Room','541','---','---','-','Meeting Room');</v>
      </c>
    </row>
    <row r="78" spans="1:13" x14ac:dyDescent="0.3">
      <c r="A78" s="5">
        <v>80</v>
      </c>
      <c r="B78" t="s">
        <v>179</v>
      </c>
      <c r="C78" t="s">
        <v>171</v>
      </c>
      <c r="D78">
        <v>1</v>
      </c>
      <c r="E78" t="s">
        <v>144</v>
      </c>
      <c r="G78" t="s">
        <v>191</v>
      </c>
      <c r="H78">
        <v>250</v>
      </c>
      <c r="I78" s="6" t="s">
        <v>13</v>
      </c>
      <c r="J78" s="6" t="s">
        <v>13</v>
      </c>
      <c r="K78" s="6" t="s">
        <v>193</v>
      </c>
      <c r="L78" t="s">
        <v>191</v>
      </c>
      <c r="M78" t="str">
        <f t="shared" si="16"/>
        <v>INSERT INTO `directory` (`order`, `office`, `displayname`, `title`, `ext`, `personalTel`, `directTel`, `email`, `contacttype`)  VALUES ('80','1','Markham Room','Meeting Room','250','---','---','-','Meeting Room');</v>
      </c>
    </row>
    <row r="79" spans="1:13" x14ac:dyDescent="0.3">
      <c r="A79" s="5">
        <v>81</v>
      </c>
      <c r="B79" t="s">
        <v>179</v>
      </c>
      <c r="C79" t="s">
        <v>171</v>
      </c>
      <c r="D79">
        <v>1</v>
      </c>
      <c r="E79" t="s">
        <v>145</v>
      </c>
      <c r="G79" t="s">
        <v>191</v>
      </c>
      <c r="H79">
        <v>226</v>
      </c>
      <c r="I79" s="6" t="s">
        <v>13</v>
      </c>
      <c r="J79" s="6" t="s">
        <v>13</v>
      </c>
      <c r="K79" s="6" t="s">
        <v>193</v>
      </c>
      <c r="L79" t="s">
        <v>191</v>
      </c>
      <c r="M79" t="str">
        <f t="shared" si="16"/>
        <v>INSERT INTO `directory` (`order`, `office`, `displayname`, `title`, `ext`, `personalTel`, `directTel`, `email`, `contacttype`)  VALUES ('81','1','Mississauga Room','Meeting Room','226','---','---','-','Meeting Room');</v>
      </c>
    </row>
    <row r="80" spans="1:13" x14ac:dyDescent="0.3">
      <c r="A80" s="5">
        <v>82</v>
      </c>
      <c r="B80" t="s">
        <v>179</v>
      </c>
      <c r="C80" t="s">
        <v>171</v>
      </c>
      <c r="D80">
        <v>1</v>
      </c>
      <c r="E80" t="s">
        <v>146</v>
      </c>
      <c r="G80" t="s">
        <v>191</v>
      </c>
      <c r="H80">
        <v>288</v>
      </c>
      <c r="I80" s="6" t="s">
        <v>13</v>
      </c>
      <c r="J80" s="6" t="s">
        <v>13</v>
      </c>
      <c r="K80" s="6" t="s">
        <v>193</v>
      </c>
      <c r="L80" t="s">
        <v>191</v>
      </c>
      <c r="M80" t="str">
        <f t="shared" si="16"/>
        <v>INSERT INTO `directory` (`order`, `office`, `displayname`, `title`, `ext`, `personalTel`, `directTel`, `email`, `contacttype`)  VALUES ('82','1','The Living Room','Meeting Room','288','---','---','-','Meeting Room');</v>
      </c>
    </row>
    <row r="81" spans="1:13" x14ac:dyDescent="0.3">
      <c r="A81" s="5">
        <v>83</v>
      </c>
      <c r="B81" t="s">
        <v>179</v>
      </c>
      <c r="C81" t="s">
        <v>171</v>
      </c>
      <c r="D81">
        <v>1</v>
      </c>
      <c r="E81" t="s">
        <v>147</v>
      </c>
      <c r="G81" t="s">
        <v>191</v>
      </c>
      <c r="H81">
        <v>208</v>
      </c>
      <c r="I81" s="6" t="s">
        <v>13</v>
      </c>
      <c r="J81" s="6" t="s">
        <v>13</v>
      </c>
      <c r="K81" s="6" t="s">
        <v>193</v>
      </c>
      <c r="L81" t="s">
        <v>191</v>
      </c>
      <c r="M81" t="str">
        <f t="shared" si="16"/>
        <v>INSERT INTO `directory` (`order`, `office`, `displayname`, `title`, `ext`, `personalTel`, `directTel`, `email`, `contacttype`)  VALUES ('83','1','Toronto Room','Meeting Room','208','---','---','-','Meeting Room');</v>
      </c>
    </row>
    <row r="82" spans="1:13" x14ac:dyDescent="0.3">
      <c r="A82" s="5">
        <v>84</v>
      </c>
      <c r="B82" t="s">
        <v>179</v>
      </c>
      <c r="C82" t="s">
        <v>171</v>
      </c>
      <c r="D82">
        <v>1</v>
      </c>
      <c r="E82" t="s">
        <v>148</v>
      </c>
      <c r="G82" t="s">
        <v>191</v>
      </c>
      <c r="H82">
        <v>524</v>
      </c>
      <c r="I82" s="6" t="s">
        <v>13</v>
      </c>
      <c r="J82" s="6" t="s">
        <v>13</v>
      </c>
      <c r="K82" s="6" t="s">
        <v>193</v>
      </c>
      <c r="L82" t="s">
        <v>191</v>
      </c>
      <c r="M82" t="str">
        <f t="shared" si="16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29" r:id="rId4" xr:uid="{00DF1362-6E25-4F93-817E-87B7D5053E83}"/>
    <hyperlink ref="K44" r:id="rId5" xr:uid="{52D2CA8B-EEC2-437B-8358-39021C3922A5}"/>
    <hyperlink ref="K75" r:id="rId6" xr:uid="{39562F23-6CA7-49AB-9C7B-CFFD135D5569}"/>
    <hyperlink ref="K76" r:id="rId7" xr:uid="{7D0A575D-6D1E-459A-8BE1-834C87DE6FF3}"/>
    <hyperlink ref="K74" r:id="rId8" xr:uid="{9DB04ED1-2784-42AB-8591-C19CE3C56BAB}"/>
    <hyperlink ref="K9" r:id="rId9" xr:uid="{20EDEC14-38F2-4118-8479-655D5EFC4DEE}"/>
    <hyperlink ref="K31" r:id="rId10" xr:uid="{C9F0094A-C483-4C7B-ABF0-879EAE2A2AB2}"/>
    <hyperlink ref="K58" r:id="rId11" xr:uid="{859B2763-7E68-453C-A061-50B98A6FFD08}"/>
    <hyperlink ref="K30" r:id="rId12" xr:uid="{2A81680F-E264-4A37-BA66-E7145340240C}"/>
    <hyperlink ref="K23" r:id="rId13" xr:uid="{C415D613-1570-441D-A891-ED3A35DEB1A5}"/>
    <hyperlink ref="K35" r:id="rId14" xr:uid="{5DA780DA-5AE3-4673-B2D5-44E74D6CADF4}"/>
    <hyperlink ref="K22" r:id="rId15" xr:uid="{D1B93B60-C4A2-4C1E-A23F-AA7F2DF69C12}"/>
    <hyperlink ref="K54" r:id="rId16" xr:uid="{605D06FB-BDCA-4D83-A43A-BE83330B88FB}"/>
    <hyperlink ref="K19" r:id="rId17" xr:uid="{B648B368-E192-405E-AF40-90D54C14ED98}"/>
    <hyperlink ref="K55" r:id="rId18" xr:uid="{808CD1D5-334F-4AE6-8D51-87CD2C3A649E}"/>
    <hyperlink ref="K52" r:id="rId19" xr:uid="{E8B48719-363A-49FC-B3C8-181E5CD398EA}"/>
    <hyperlink ref="K47" r:id="rId20" xr:uid="{741920D7-852F-438F-9B8A-B9ABD3DE381E}"/>
    <hyperlink ref="K71" r:id="rId21" display="mailto:optima2@livingproperties.com" xr:uid="{FC418030-4EE8-4439-92C7-DD13F00F4D6A}"/>
    <hyperlink ref="K63" r:id="rId22" xr:uid="{51FF6984-1DC6-430F-8E60-254E7A49BE1B}"/>
    <hyperlink ref="K70" r:id="rId23" xr:uid="{9681E0BE-E957-4347-8DBD-4A244171852E}"/>
    <hyperlink ref="K64" r:id="rId24" xr:uid="{30A38D56-4D68-485C-9630-D527FE1A7375}"/>
    <hyperlink ref="K16" r:id="rId25" xr:uid="{B4D2F180-C9A6-4272-89D7-2F45E07DF9D9}"/>
    <hyperlink ref="K49" r:id="rId26" xr:uid="{A9377D63-6925-44E0-9C10-08AA1C1392A0}"/>
    <hyperlink ref="K5" r:id="rId27" xr:uid="{4DE7FF7F-49C2-494C-9ADB-BFB49C469051}"/>
    <hyperlink ref="K12" r:id="rId28" xr:uid="{90CB7667-927C-4A55-A4D2-5ECF1714DD75}"/>
    <hyperlink ref="K15" r:id="rId29" xr:uid="{D736220D-F75D-48ED-8215-388BFD7FD301}"/>
    <hyperlink ref="K17" r:id="rId30" xr:uid="{817B083C-1611-4901-8A1D-B030947152E8}"/>
    <hyperlink ref="K18" r:id="rId31" xr:uid="{752CA09E-105C-4C44-8813-DDB06D0C764D}"/>
    <hyperlink ref="K20" r:id="rId32" xr:uid="{A7F2B0B7-6CD2-46B0-BB3A-E30D6262FA40}"/>
    <hyperlink ref="K21" r:id="rId33" xr:uid="{9B61C4AA-A004-4FEE-9055-CCAA2E34D986}"/>
    <hyperlink ref="K24" r:id="rId34" xr:uid="{50B74B28-16D3-4C9C-B649-AC16BE018A83}"/>
    <hyperlink ref="K25" r:id="rId35" xr:uid="{A3065F38-759F-4602-8D3C-7233C32A3032}"/>
    <hyperlink ref="K26" r:id="rId36" xr:uid="{C3F36426-076E-4E31-9F0B-0EA3A6B1DD75}"/>
    <hyperlink ref="K27" r:id="rId37" xr:uid="{E62BDC17-BE73-4321-AC87-B2F1AC44C52D}"/>
    <hyperlink ref="K33" r:id="rId38" xr:uid="{26ECB104-FD6B-4BA7-BC13-956EEDFA68E3}"/>
    <hyperlink ref="K34" r:id="rId39" xr:uid="{F9DADC4C-0A70-47E0-AB40-D008FA823714}"/>
    <hyperlink ref="K40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67" r:id="rId44" xr:uid="{CF0A0F84-6B70-448A-A7E4-353F76C06344}"/>
    <hyperlink ref="K36" r:id="rId45" xr:uid="{F255A40E-E7F9-46E9-80A6-89E7F5CECB64}"/>
    <hyperlink ref="K37" r:id="rId46" xr:uid="{F33CFE79-8711-4EBC-9CB7-252D909356D4}"/>
    <hyperlink ref="K38" r:id="rId47" xr:uid="{B46830F1-4C98-4965-8EC5-D6EBD7A32C28}"/>
    <hyperlink ref="K56" r:id="rId48" xr:uid="{9D43AF14-0E24-4C14-AD35-9A3EEC0FCFA3}"/>
    <hyperlink ref="K48" r:id="rId49" xr:uid="{C4723849-58CB-441D-8956-C096D16EB2A8}"/>
    <hyperlink ref="K10" r:id="rId50" xr:uid="{D399DD4D-94FB-4195-932E-DB5272684B27}"/>
    <hyperlink ref="K14" r:id="rId51" xr:uid="{E60717EF-9C6B-447A-B1BA-FB4D65924041}"/>
    <hyperlink ref="K32" r:id="rId52" xr:uid="{B8F1F465-51CE-4CE4-A2D0-B12797D52113}"/>
  </hyperlinks>
  <pageMargins left="0.7" right="0.7" top="0.75" bottom="0.75" header="0.3" footer="0.3"/>
  <pageSetup orientation="portrait" r:id="rId53"/>
  <tableParts count="1">
    <tablePart r:id="rId5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2026-04-08T19:33:52Z</cp:lastPrinted>
  <dcterms:created xsi:type="dcterms:W3CDTF">2022-03-18T20:07:19Z</dcterms:created>
  <dcterms:modified xsi:type="dcterms:W3CDTF">2026-04-08T20:42:13Z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