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kwlivingrealtydrive\kwlrportal\companydirectorypdf\"/>
    </mc:Choice>
  </mc:AlternateContent>
  <xr:revisionPtr revIDLastSave="0" documentId="13_ncr:1_{D86FACFF-339B-40FD-B720-E9D85609D651}" xr6:coauthVersionLast="47" xr6:coauthVersionMax="47" xr10:uidLastSave="{00000000-0000-0000-0000-000000000000}"/>
  <bookViews>
    <workbookView xWindow="-90" yWindow="-16440" windowWidth="29040" windowHeight="15720" activeTab="1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Size'!$A$1:$F$78</definedName>
    <definedName name="_xlnm.Print_Area" localSheetId="0">'Letter Size'!$A$1:$I$77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9" l="1"/>
  <c r="E50" i="9"/>
  <c r="D50" i="9"/>
  <c r="C50" i="9"/>
  <c r="B50" i="9"/>
  <c r="A50" i="9"/>
  <c r="F50" i="8"/>
  <c r="E50" i="8"/>
  <c r="D50" i="8"/>
  <c r="C50" i="8"/>
  <c r="B50" i="8"/>
  <c r="A50" i="8"/>
  <c r="M49" i="7"/>
  <c r="F60" i="8"/>
  <c r="E60" i="8"/>
  <c r="D60" i="8"/>
  <c r="C60" i="8"/>
  <c r="B60" i="8"/>
  <c r="A60" i="8"/>
  <c r="F59" i="8"/>
  <c r="E59" i="8"/>
  <c r="D59" i="8"/>
  <c r="C59" i="8"/>
  <c r="B59" i="8"/>
  <c r="A59" i="8"/>
  <c r="F33" i="8"/>
  <c r="E33" i="8"/>
  <c r="D33" i="8"/>
  <c r="C33" i="8"/>
  <c r="B33" i="8"/>
  <c r="A33" i="8"/>
  <c r="F60" i="9"/>
  <c r="E60" i="9"/>
  <c r="D60" i="9"/>
  <c r="C60" i="9"/>
  <c r="B60" i="9"/>
  <c r="A60" i="9"/>
  <c r="F59" i="9"/>
  <c r="E59" i="9"/>
  <c r="D59" i="9"/>
  <c r="C59" i="9"/>
  <c r="B59" i="9"/>
  <c r="A59" i="9"/>
  <c r="M58" i="7"/>
  <c r="F33" i="9"/>
  <c r="E33" i="9"/>
  <c r="D33" i="9"/>
  <c r="C33" i="9"/>
  <c r="B33" i="9"/>
  <c r="A33" i="9"/>
  <c r="M32" i="7"/>
  <c r="F15" i="8"/>
  <c r="E15" i="8"/>
  <c r="D15" i="8"/>
  <c r="C15" i="8"/>
  <c r="B15" i="8"/>
  <c r="A15" i="8"/>
  <c r="F23" i="9"/>
  <c r="E23" i="9"/>
  <c r="D23" i="9"/>
  <c r="C23" i="9"/>
  <c r="B23" i="9"/>
  <c r="A23" i="9"/>
  <c r="F15" i="9"/>
  <c r="E15" i="9"/>
  <c r="D15" i="9"/>
  <c r="C15" i="9"/>
  <c r="B15" i="9"/>
  <c r="A15" i="9"/>
  <c r="M14" i="7"/>
  <c r="F74" i="9"/>
  <c r="E74" i="9"/>
  <c r="D74" i="9"/>
  <c r="C74" i="9"/>
  <c r="B74" i="9"/>
  <c r="A74" i="9"/>
  <c r="F70" i="9"/>
  <c r="E70" i="9"/>
  <c r="D70" i="9"/>
  <c r="C70" i="9"/>
  <c r="B70" i="9"/>
  <c r="A70" i="9"/>
  <c r="F67" i="9"/>
  <c r="E67" i="9"/>
  <c r="D67" i="9"/>
  <c r="C67" i="9"/>
  <c r="B67" i="9"/>
  <c r="A67" i="9"/>
  <c r="F64" i="9"/>
  <c r="E64" i="9"/>
  <c r="D64" i="9"/>
  <c r="C64" i="9"/>
  <c r="B64" i="9"/>
  <c r="A64" i="9"/>
  <c r="F74" i="8"/>
  <c r="E74" i="8"/>
  <c r="D74" i="8"/>
  <c r="C74" i="8"/>
  <c r="B74" i="8"/>
  <c r="A74" i="8"/>
  <c r="F70" i="8"/>
  <c r="E70" i="8"/>
  <c r="D70" i="8"/>
  <c r="C70" i="8"/>
  <c r="B70" i="8"/>
  <c r="A70" i="8"/>
  <c r="F67" i="8"/>
  <c r="E67" i="8"/>
  <c r="D67" i="8"/>
  <c r="C67" i="8"/>
  <c r="B67" i="8"/>
  <c r="A67" i="8"/>
  <c r="F64" i="8"/>
  <c r="E64" i="8"/>
  <c r="D64" i="8"/>
  <c r="C64" i="8"/>
  <c r="B64" i="8"/>
  <c r="A64" i="8"/>
  <c r="M66" i="7"/>
  <c r="M69" i="7"/>
  <c r="M63" i="7"/>
  <c r="M73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49" i="9"/>
  <c r="E49" i="9"/>
  <c r="D49" i="9"/>
  <c r="C49" i="9"/>
  <c r="B49" i="9"/>
  <c r="A49" i="9"/>
  <c r="F49" i="8"/>
  <c r="E49" i="8"/>
  <c r="D49" i="8"/>
  <c r="C49" i="8"/>
  <c r="B49" i="8"/>
  <c r="A49" i="8"/>
  <c r="M48" i="7"/>
  <c r="F58" i="9"/>
  <c r="E58" i="9"/>
  <c r="D58" i="9"/>
  <c r="C58" i="9"/>
  <c r="B58" i="9"/>
  <c r="A58" i="9"/>
  <c r="F58" i="8"/>
  <c r="E58" i="8"/>
  <c r="D58" i="8"/>
  <c r="C58" i="8"/>
  <c r="B58" i="8"/>
  <c r="A58" i="8"/>
  <c r="M57" i="7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69" i="8"/>
  <c r="E69" i="8"/>
  <c r="D69" i="8"/>
  <c r="C69" i="8"/>
  <c r="B69" i="8"/>
  <c r="A69" i="8"/>
  <c r="F68" i="8"/>
  <c r="E68" i="8"/>
  <c r="D68" i="8"/>
  <c r="C68" i="8"/>
  <c r="B68" i="8"/>
  <c r="A68" i="8"/>
  <c r="F66" i="8"/>
  <c r="E66" i="8"/>
  <c r="D66" i="8"/>
  <c r="C66" i="8"/>
  <c r="B66" i="8"/>
  <c r="A66" i="8"/>
  <c r="F65" i="8"/>
  <c r="E65" i="8"/>
  <c r="D65" i="8"/>
  <c r="C65" i="8"/>
  <c r="B65" i="8"/>
  <c r="A65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A76" i="9"/>
  <c r="F75" i="9"/>
  <c r="E75" i="9"/>
  <c r="D75" i="9"/>
  <c r="C75" i="9"/>
  <c r="B75" i="9"/>
  <c r="A75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F69" i="9"/>
  <c r="E69" i="9"/>
  <c r="D69" i="9"/>
  <c r="C69" i="9"/>
  <c r="B69" i="9"/>
  <c r="A69" i="9"/>
  <c r="F68" i="9"/>
  <c r="E68" i="9"/>
  <c r="D68" i="9"/>
  <c r="C68" i="9"/>
  <c r="B68" i="9"/>
  <c r="A68" i="9"/>
  <c r="F66" i="9"/>
  <c r="E66" i="9"/>
  <c r="D66" i="9"/>
  <c r="C66" i="9"/>
  <c r="B66" i="9"/>
  <c r="A66" i="9"/>
  <c r="F65" i="9"/>
  <c r="E65" i="9"/>
  <c r="D65" i="9"/>
  <c r="C65" i="9"/>
  <c r="B65" i="9"/>
  <c r="A65" i="9"/>
  <c r="F63" i="9"/>
  <c r="E63" i="9"/>
  <c r="D63" i="9"/>
  <c r="C63" i="9"/>
  <c r="B63" i="9"/>
  <c r="A63" i="9"/>
  <c r="F62" i="9"/>
  <c r="E62" i="9"/>
  <c r="D62" i="9"/>
  <c r="C62" i="9"/>
  <c r="B62" i="9"/>
  <c r="A62" i="9"/>
  <c r="F61" i="9"/>
  <c r="E61" i="9"/>
  <c r="D61" i="9"/>
  <c r="C61" i="9"/>
  <c r="B61" i="9"/>
  <c r="A61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2" i="9"/>
  <c r="E52" i="9"/>
  <c r="D52" i="9"/>
  <c r="C52" i="9"/>
  <c r="B52" i="9"/>
  <c r="A52" i="9"/>
  <c r="F51" i="9"/>
  <c r="E51" i="9"/>
  <c r="D51" i="9"/>
  <c r="C51" i="9"/>
  <c r="B51" i="9"/>
  <c r="A51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F27" i="9"/>
  <c r="E27" i="9"/>
  <c r="D27" i="9"/>
  <c r="C27" i="9"/>
  <c r="B27" i="9"/>
  <c r="A27" i="9"/>
  <c r="M38" i="7"/>
  <c r="M37" i="7"/>
  <c r="M36" i="7"/>
  <c r="M68" i="7"/>
  <c r="M67" i="7"/>
  <c r="F24" i="9"/>
  <c r="E24" i="9"/>
  <c r="D24" i="9"/>
  <c r="C24" i="9"/>
  <c r="B24" i="9"/>
  <c r="A24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6" i="9"/>
  <c r="E16" i="9"/>
  <c r="D16" i="9"/>
  <c r="C16" i="9"/>
  <c r="B16" i="9"/>
  <c r="A16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5" i="9"/>
  <c r="E25" i="9"/>
  <c r="D25" i="9"/>
  <c r="C25" i="9"/>
  <c r="B25" i="9"/>
  <c r="A25" i="9"/>
  <c r="F25" i="8"/>
  <c r="E25" i="8"/>
  <c r="D25" i="8"/>
  <c r="C25" i="8"/>
  <c r="B25" i="8"/>
  <c r="A25" i="8"/>
  <c r="M50" i="7"/>
  <c r="M20" i="7"/>
  <c r="M28" i="7"/>
  <c r="M71" i="7"/>
  <c r="M70" i="7"/>
  <c r="M72" i="7"/>
  <c r="M65" i="7"/>
  <c r="M47" i="7"/>
  <c r="M53" i="7"/>
  <c r="M52" i="7"/>
  <c r="M56" i="7"/>
  <c r="M19" i="7"/>
  <c r="M55" i="7"/>
  <c r="M22" i="7"/>
  <c r="M2" i="7"/>
  <c r="M3" i="7"/>
  <c r="M4" i="7"/>
  <c r="M5" i="7"/>
  <c r="M8" i="7"/>
  <c r="M9" i="7"/>
  <c r="M12" i="7"/>
  <c r="M13" i="7"/>
  <c r="M15" i="7"/>
  <c r="M16" i="7"/>
  <c r="M17" i="7"/>
  <c r="M18" i="7"/>
  <c r="M21" i="7"/>
  <c r="M23" i="7"/>
  <c r="M24" i="7"/>
  <c r="M25" i="7"/>
  <c r="M26" i="7"/>
  <c r="M27" i="7"/>
  <c r="M29" i="7"/>
  <c r="M30" i="7"/>
  <c r="M31" i="7"/>
  <c r="M33" i="7"/>
  <c r="M34" i="7"/>
  <c r="M35" i="7"/>
  <c r="M39" i="7"/>
  <c r="M40" i="7"/>
  <c r="M41" i="7"/>
  <c r="M42" i="7"/>
  <c r="M43" i="7"/>
  <c r="M44" i="7"/>
  <c r="M45" i="7"/>
  <c r="M46" i="7"/>
  <c r="M51" i="7"/>
  <c r="M54" i="7"/>
  <c r="M59" i="7"/>
  <c r="M60" i="7"/>
  <c r="M61" i="7"/>
  <c r="M62" i="7"/>
  <c r="M64" i="7"/>
  <c r="M74" i="7"/>
  <c r="M75" i="7"/>
  <c r="M76" i="7"/>
  <c r="M77" i="7"/>
  <c r="M78" i="7"/>
  <c r="M79" i="7"/>
  <c r="M80" i="7"/>
  <c r="M81" i="7"/>
  <c r="M82" i="7"/>
  <c r="M83" i="7"/>
  <c r="F26" i="9"/>
  <c r="E26" i="9"/>
  <c r="D26" i="9"/>
  <c r="C26" i="9"/>
  <c r="B26" i="9"/>
  <c r="A2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<sst xmlns="http://schemas.openxmlformats.org/spreadsheetml/2006/main" count="767" uniqueCount="318">
  <si>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</si>
  <si>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</si>
  <si>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</si>
  <si>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</si>
  <si>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</si>
  <si>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</si>
  <si>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</si>
  <si>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</si>
  <si>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</si>
  <si>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</si>
  <si>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</si>
  <si>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</si>
  <si>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</si>
  <si>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</si>
  <si>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</si>
  <si>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</si>
  <si>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</si>
  <si>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</si>
  <si>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</si>
  <si>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</si>
  <si>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</si>
  <si>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</si>
  <si>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</si>
  <si>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</si>
  <si>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</si>
  <si>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</si>
  <si>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</si>
  <si>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</si>
  <si>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</si>
  <si>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</si>
  <si>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</si>
  <si>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</si>
  <si>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</si>
  <si>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</si>
  <si>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</si>
  <si>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</si>
  <si>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</si>
  <si>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</si>
  <si>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</si>
  <si>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</si>
  <si>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</si>
  <si>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</si>
  <si>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</si>
  <si>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</si>
  <si>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</si>
  <si>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</si>
  <si>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</si>
  <si>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</si>
  <si>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</si>
  <si>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</si>
  <si>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</si>
  <si>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</si>
  <si>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</si>
  <si>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</si>
  <si>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</si>
  <si>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</si>
  <si>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</si>
  <si>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</si>
  <si>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</si>
  <si>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</si>
  <si>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</si>
  <si>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</si>
  <si>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</si>
  <si>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</si>
  <si>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</si>
  <si>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</si>
  <si>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</si>
  <si>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</si>
  <si>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</si>
  <si>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</si>
  <si>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</si>
  <si>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</si>
  <si>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</si>
  <si>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</si>
  <si>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</si>
  <si>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</si>
  <si>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</si>
  <si>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</si>
  <si>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</si>
  <si>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</si>
  <si>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</si>
  <si>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</si>
  <si>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</si>
  <si>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</si>
  <si>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</si>
  <si>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</si>
  <si>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</si>
  <si>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</si>
  <si>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</si>
  <si>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</si>
  <si>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</si>
  <si>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</si>
  <si>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</si>
  <si>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</si>
  <si>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</si>
  <si>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</si>
  <si>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</si>
  <si>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</si>
  <si>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</si>
  <si>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</si>
  <si>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</si>
  <si>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</si>
  <si>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</si>
  <si>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</si>
  <si>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</si>
  <si>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</si>
  <si>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</si>
  <si>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</si>
  <si>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</si>
  <si>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</si>
  <si>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</si>
  <si>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</si>
  <si>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</si>
  <si>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</si>
  <si>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</si>
  <si>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</si>
  <si>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</si>
  <si>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</si>
  <si>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</si>
  <si>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</si>
  <si>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</si>
  <si>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</si>
  <si>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</si>
  <si>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</si>
  <si>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</si>
  <si>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</si>
  <si>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</si>
  <si>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</si>
  <si>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</si>
  <si>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</si>
  <si>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</si>
  <si>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</si>
  <si>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</si>
  <si>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</si>
  <si>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</si>
  <si>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</si>
  <si>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</si>
  <si>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</si>
  <si>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</si>
  <si>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</si>
  <si>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</si>
  <si>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</si>
  <si>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</si>
  <si>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</si>
  <si>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</si>
  <si>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</si>
  <si>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</si>
  <si>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</si>
  <si>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</si>
  <si>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</si>
  <si>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</si>
  <si>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</si>
  <si>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</si>
  <si>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</si>
  <si>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</si>
  <si>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</si>
  <si>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</si>
  <si>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</si>
  <si>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</si>
  <si>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</si>
  <si>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</si>
  <si>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</si>
  <si>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</si>
  <si>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</si>
  <si>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</si>
  <si>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</si>
  <si>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</si>
  <si>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</si>
  <si>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</si>
  <si>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</si>
  <si>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</si>
  <si>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</si>
  <si>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</si>
  <si>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</si>
  <si>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</si>
  <si>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</si>
  <si>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</si>
  <si>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</si>
  <si>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</si>
  <si>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</si>
  <si>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</si>
  <si>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</si>
  <si>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</si>
  <si>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</si>
  <si>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</si>
  <si>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</si>
  <si>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</si>
  <si>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</si>
  <si>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</si>
  <si>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</si>
  <si>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</si>
  <si>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</si>
  <si>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</si>
  <si>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</si>
  <si>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</si>
  <si>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</si>
  <si>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</si>
  <si>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</si>
  <si>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</si>
  <si>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</si>
  <si>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</si>
  <si>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</si>
  <si>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</si>
  <si>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</si>
  <si>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</si>
  <si>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</si>
  <si>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</si>
  <si>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</si>
  <si>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</si>
  <si>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</si>
  <si>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</si>
  <si>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</si>
  <si>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</si>
  <si>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</si>
  <si>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</si>
  <si>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</si>
  <si>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</si>
  <si>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</si>
  <si>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</si>
  <si>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</si>
  <si>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</si>
  <si>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</si>
  <si>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</si>
  <si>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</si>
  <si>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</si>
  <si>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</si>
  <si>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</si>
  <si>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</si>
  <si>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Yonge &amp; Eglinton Office</t>
  </si>
  <si>
    <t>LRI YE</t>
  </si>
  <si>
    <t>Lydia Ng</t>
  </si>
  <si>
    <t>Christie Ip</t>
  </si>
  <si>
    <t>T: (437)-533-1208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</si>
  <si>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</si>
  <si>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</si>
  <si>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</si>
  <si>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</si>
  <si>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</si>
  <si>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</si>
  <si>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</si>
  <si>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</si>
  <si>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</si>
  <si>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</si>
  <si>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</si>
  <si>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</si>
  <si>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</si>
  <si>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</si>
  <si>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</si>
  <si>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</si>
  <si>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</si>
  <si>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</si>
  <si>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</si>
  <si>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</si>
  <si>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</si>
  <si>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</si>
  <si>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</si>
  <si>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</si>
  <si>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</si>
  <si>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</si>
  <si>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</si>
  <si>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</si>
  <si>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</si>
  <si>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</si>
  <si>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</si>
  <si>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</si>
  <si>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</si>
  <si>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</si>
  <si>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</si>
  <si>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</si>
  <si>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</si>
  <si>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</si>
  <si>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</si>
  <si>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</si>
  <si>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</si>
  <si>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</si>
  <si>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</si>
  <si>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</si>
  <si>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</si>
  <si>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</si>
  <si>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</si>
  <si>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</si>
  <si>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</si>
  <si>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</si>
  <si>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</si>
  <si>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</si>
  <si>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</si>
  <si>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</si>
  <si>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(416) 576-6312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</si>
  <si>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</si>
  <si>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</si>
  <si>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</si>
  <si>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</si>
  <si>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</si>
  <si>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</si>
  <si>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</si>
  <si>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</si>
  <si>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</si>
  <si>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</si>
  <si>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</si>
  <si>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</si>
  <si>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</si>
  <si>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</si>
  <si>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Joanna Xie</t>
  </si>
  <si>
    <t>Agent Services Coordinator</t>
  </si>
  <si>
    <t>joannaxie@livingrealtykw.com</t>
  </si>
  <si>
    <t>Cassandra Pacitto</t>
  </si>
  <si>
    <t>cassandrapacitto@livingrealtykw.com</t>
  </si>
  <si>
    <t>Juliana Monize</t>
  </si>
  <si>
    <t>julianamonize@livingrealtykw.com</t>
  </si>
  <si>
    <t>Francesco Armogida</t>
  </si>
  <si>
    <t>francescoarmogida@livingrealtykw.com</t>
  </si>
  <si>
    <t>Gus B</t>
  </si>
  <si>
    <t>gusb@livcontruction.ca</t>
  </si>
  <si>
    <t>Senior Technical Specialist &amp; System Architect</t>
  </si>
  <si>
    <t>Vice President, New Homes, Broker</t>
  </si>
  <si>
    <t>Stanley Wu</t>
  </si>
  <si>
    <t>stanleyw@livingproperties.com</t>
  </si>
  <si>
    <t>Update Date: Apr 21,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</si>
</sst>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3" totalsRowShown="0">
  <autoFilter ref="A1:M83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stanleyw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55" Type="http://schemas.openxmlformats.org/officeDocument/2006/relationships/table" Target="../tables/table1.xm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c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hyperlink" Target="mailto:Thomasl@livingproperties.com" TargetMode="External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nicolel@livingproperties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julianamonize@livingrealtykw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joannaxie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printerSettings" Target="../printerSettings/printerSettings3.bin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2"/>
  <sheetViews>
    <sheetView showGridLines="0" zoomScale="96" zoomScaleNormal="96" workbookViewId="0">
      <selection activeCell="J17" sqref="J17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317</v>
      </c>
    </row>
    <row r="2" spans="1:12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 s="10" t="s">
        <v>191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ContactData!E78</f>
        <v>Lunch Room</v>
      </c>
      <c r="I3">
        <f>ContactData!H78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ContactData!E79</f>
        <v>Markham Room</v>
      </c>
      <c r="I4">
        <f>ContactData!H79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ContactData!E80</f>
        <v>Mississauga Room</v>
      </c>
      <c r="I5">
        <f>ContactData!H80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ContactData!E81</f>
        <v>The Living Room</v>
      </c>
      <c r="I6">
        <f>ContactData!H81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ContactData!E82</f>
        <v>Toronto Room</v>
      </c>
      <c r="I7">
        <f>ContactData!H82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ContactData!E83</f>
        <v>York Room</v>
      </c>
      <c r="I8">
        <f>ContactData!H83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President,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 &amp; System Architect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  <c r="J25"/>
      <c r="K25"/>
      <c r="L25"/>
    </row>
    <row r="26" spans="1:12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  <c r="J34"/>
      <c r="K34"/>
      <c r="L34"/>
    </row>
    <row r="35" spans="1:12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  <c r="J36"/>
      <c r="K36"/>
      <c r="L36"/>
    </row>
    <row r="37" spans="1:12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  <c r="J37"/>
      <c r="K37"/>
      <c r="L37"/>
    </row>
    <row r="38" spans="1:12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  <c r="J40"/>
      <c r="K40"/>
      <c r="L40"/>
    </row>
    <row r="41" spans="1:12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  <c r="J43"/>
      <c r="K43"/>
      <c r="L43"/>
    </row>
    <row r="44" spans="1:12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168</v>
      </c>
      <c r="B51" s="3" t="str">
        <f>ContactData!E50</f>
        <v>Stanley Wu</v>
      </c>
      <c r="C51" s="3" t="str">
        <f>ContactData!G50</f>
        <v>Property Manager</v>
      </c>
      <c r="D51" s="9" t="str">
        <f>IF(LEN(ContactData!I50)&lt;3,"",ContactData!I50)</f>
        <v>---</v>
      </c>
      <c r="E51" s="3" t="str">
        <f>ContactData!J50</f>
        <v>(905) 477-2090</v>
      </c>
      <c r="F51" s="3" t="str">
        <f>IF(LEN(ContactData!K50)&lt;3,"",ContactData!K50)</f>
        <v>stanleyw@livingproperties.com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210</v>
      </c>
      <c r="B52" s="3" t="str">
        <f>ContactData!E51</f>
        <v>Loretta Leung</v>
      </c>
      <c r="C52" s="3" t="str">
        <f>ContactData!G51</f>
        <v>Executive Assistant</v>
      </c>
      <c r="D52" s="9" t="str">
        <f>IF(LEN(ContactData!I51)&lt;3,"",ContactData!I51)</f>
        <v>---</v>
      </c>
      <c r="E52" s="3" t="str">
        <f>ContactData!J51</f>
        <v>---</v>
      </c>
      <c r="F52" s="3" t="str">
        <f>IF(LEN(ContactData!K51)&lt;3,"",ContactData!K51)</f>
        <v>lorettal@livingproperties.com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518</v>
      </c>
      <c r="B53" s="3" t="str">
        <f>ContactData!E52</f>
        <v>Simon Li</v>
      </c>
      <c r="C53" s="3" t="str">
        <f>ContactData!G52</f>
        <v>Senior Accountant</v>
      </c>
      <c r="D53" s="9" t="str">
        <f>IF(LEN(ContactData!I52)&lt;3,"",ContactData!I52)</f>
        <v>---</v>
      </c>
      <c r="E53" s="3" t="str">
        <f>ContactData!J52</f>
        <v>(905) 752-3518</v>
      </c>
      <c r="F53" s="3" t="str">
        <f>IF(LEN(ContactData!K52)&lt;3,"",ContactData!K52)</f>
        <v>simonl@livingproperties.com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281</v>
      </c>
      <c r="B54" s="3" t="str">
        <f>ContactData!E53</f>
        <v>Nicole Leung</v>
      </c>
      <c r="C54" s="3" t="str">
        <f>ContactData!G53</f>
        <v>Property Accountant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nicolel@livingproperties.com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523</v>
      </c>
      <c r="B55" s="3" t="str">
        <f>ContactData!E54</f>
        <v>Vivian Lum</v>
      </c>
      <c r="C55" s="3" t="str">
        <f>ContactData!G54</f>
        <v>Accounts Receivable Clerk</v>
      </c>
      <c r="D55" s="9" t="str">
        <f>IF(LEN(ContactData!I54)&lt;3,"",ContactData!I54)</f>
        <v>---</v>
      </c>
      <c r="E55" s="3" t="str">
        <f>ContactData!J54</f>
        <v>(905) 752-3523</v>
      </c>
      <c r="F55" s="3" t="str">
        <f>IF(LEN(ContactData!K54)&lt;3,"",ContactData!K54)</f>
        <v>vivianl@livingproperties.com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223</v>
      </c>
      <c r="B56" s="3" t="str">
        <f>ContactData!E55</f>
        <v>Jessica Lee</v>
      </c>
      <c r="C56" s="3" t="str">
        <f>ContactData!G55</f>
        <v xml:space="preserve">Accounting Clerk 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jessical@livingproperties.com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172</v>
      </c>
      <c r="B57" s="3" t="str">
        <f>ContactData!E56</f>
        <v>Rebecca Lau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rebeccal@livingproperties.com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182</v>
      </c>
      <c r="B58" s="3" t="str">
        <f>ContactData!E57</f>
        <v>Kelvin Chan</v>
      </c>
      <c r="C58" s="3" t="str">
        <f>ContactData!G57</f>
        <v>Administrative Assistant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kelvinc@livingproperties.com</v>
      </c>
      <c r="G58"/>
      <c r="H58"/>
      <c r="I58"/>
      <c r="J58"/>
      <c r="K58"/>
      <c r="L58"/>
    </row>
    <row r="59" spans="1:12" ht="14.4" x14ac:dyDescent="0.3">
      <c r="A59" s="9">
        <f>IF(LEN(ContactData!H58)&lt;3,"",ContactData!H58)</f>
        <v>229</v>
      </c>
      <c r="B59" s="3" t="str">
        <f>ContactData!E58</f>
        <v>Matthew Wong</v>
      </c>
      <c r="C59" s="3" t="str">
        <f>ContactData!G58</f>
        <v>Accounting Clerk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mattheww@livingproperties.com</v>
      </c>
      <c r="G59"/>
      <c r="H59"/>
      <c r="I59"/>
      <c r="J59"/>
      <c r="K59"/>
      <c r="L59"/>
    </row>
    <row r="60" spans="1:12" ht="14.4" x14ac:dyDescent="0.3">
      <c r="A60" s="9" t="str">
        <f>IF(LEN(ContactData!H59)&lt;3,"",ContactData!H59)</f>
        <v>---</v>
      </c>
      <c r="B60" s="3" t="str">
        <f>ContactData!E59</f>
        <v>Gus B</v>
      </c>
      <c r="C60" s="3" t="str">
        <f>ContactData!G59</f>
        <v>Handyman</v>
      </c>
      <c r="D60" s="9" t="str">
        <f>IF(LEN(ContactData!I59)&lt;3,"",ContactData!I59)</f>
        <v>---</v>
      </c>
      <c r="E60" s="3" t="str">
        <f>ContactData!J59</f>
        <v>(905) 477-2090</v>
      </c>
      <c r="F60" s="3" t="str">
        <f>IF(LEN(ContactData!K59)&lt;3,"",ContactData!K59)</f>
        <v>gusb@livcontruction.ca</v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/>
      </c>
      <c r="B61" s="3" t="str">
        <f>ContactData!E60</f>
        <v>Centro Towers Office</v>
      </c>
      <c r="C61" s="3" t="str">
        <f>ContactData!G60</f>
        <v>25 Town Centre Crt, Scarborough, ON, M1P 0B4</v>
      </c>
      <c r="D61" s="9" t="str">
        <f>IF(LEN(ContactData!I60)&lt;3,"",ContactData!I60)</f>
        <v/>
      </c>
      <c r="E61" s="3" t="str">
        <f>ContactData!J60</f>
        <v>T: (416) 290-1242</v>
      </c>
      <c r="F61" s="3" t="str">
        <f>IF(LEN(ContactData!K60)&lt;3,"",ContactData!K60)</f>
        <v/>
      </c>
      <c r="G61"/>
      <c r="H61"/>
      <c r="I61"/>
      <c r="J61"/>
      <c r="K61"/>
      <c r="L61"/>
    </row>
    <row r="62" spans="1:12" ht="14.4" x14ac:dyDescent="0.3">
      <c r="A62" s="9" t="str">
        <f>IF(LEN(ContactData!H61)&lt;3,"",ContactData!H61)</f>
        <v>---</v>
      </c>
      <c r="B62" s="3" t="str">
        <f>ContactData!E61</f>
        <v>Henry Fu</v>
      </c>
      <c r="C62" s="3" t="str">
        <f>ContactData!G61</f>
        <v>Property Manager</v>
      </c>
      <c r="D62" s="9" t="str">
        <f>IF(LEN(ContactData!I61)&lt;3,"",ContactData!I61)</f>
        <v>(416) 278-2953</v>
      </c>
      <c r="E62" s="3" t="str">
        <f>ContactData!J61</f>
        <v>(416) 290-1242</v>
      </c>
      <c r="F62" s="3" t="str">
        <f>IF(LEN(ContactData!K61)&lt;3,"",ContactData!K61)</f>
        <v>henry@centrotowers.com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>---</v>
      </c>
      <c r="B63" s="3" t="str">
        <f>ContactData!E62</f>
        <v>Sophia Yip</v>
      </c>
      <c r="C63" s="3" t="str">
        <f>ContactData!G62</f>
        <v>Property Administrator</v>
      </c>
      <c r="D63" s="9" t="str">
        <f>IF(LEN(ContactData!I62)&lt;3,"",ContactData!I62)</f>
        <v>---</v>
      </c>
      <c r="E63" s="3" t="str">
        <f>ContactData!J62</f>
        <v>(416) 290-1242</v>
      </c>
      <c r="F63" s="3" t="str">
        <f>IF(LEN(ContactData!K62)&lt;3,"",ContactData!K62)</f>
        <v>sophia@centrotowers.com</v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>---</v>
      </c>
      <c r="B64" s="3" t="str">
        <f>ContactData!E63</f>
        <v xml:space="preserve">Security Desk </v>
      </c>
      <c r="C64" s="3" t="str">
        <f>ContactData!G63</f>
        <v xml:space="preserve">Centro Security Desk </v>
      </c>
      <c r="D64" s="9" t="str">
        <f>IF(LEN(ContactData!I63)&lt;3,"",ContactData!I63)</f>
        <v>---</v>
      </c>
      <c r="E64" s="3" t="str">
        <f>ContactData!J63</f>
        <v>(416) 296-0099</v>
      </c>
      <c r="F64" s="3" t="str">
        <f>IF(LEN(ContactData!K63)&lt;3,"",ContactData!K63)</f>
        <v>---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/>
      </c>
      <c r="B65" s="3" t="str">
        <f>ContactData!E64</f>
        <v>EQ1 Office</v>
      </c>
      <c r="C65" s="3" t="str">
        <f>ContactData!G64</f>
        <v>70 Town Centre Court, Scarborough, ON, M1P 0B2</v>
      </c>
      <c r="D65" s="9" t="str">
        <f>IF(LEN(ContactData!I64)&lt;3,"",ContactData!I64)</f>
        <v/>
      </c>
      <c r="E65" s="3" t="str">
        <f>ContactData!J64</f>
        <v xml:space="preserve">T: (416) 279-0603 </v>
      </c>
      <c r="F65" s="3" t="str">
        <f>IF(LEN(ContactData!K64)&lt;3,"",ContactData!K64)</f>
        <v>eq1@livingproperties.com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>Ming Ip</v>
      </c>
      <c r="C66" s="3" t="str">
        <f>ContactData!G65</f>
        <v>Property Manager</v>
      </c>
      <c r="D66" s="9" t="str">
        <f>IF(LEN(ContactData!I65)&lt;3,"",ContactData!I65)</f>
        <v>(647) 286-0147</v>
      </c>
      <c r="E66" s="3" t="str">
        <f>ContactData!J65</f>
        <v xml:space="preserve">(416) 279-0603 </v>
      </c>
      <c r="F66" s="3" t="str">
        <f>IF(LEN(ContactData!K65)&lt;3,"",ContactData!K65)</f>
        <v>eq1manager@livingproperties.com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>---</v>
      </c>
      <c r="B67" s="3" t="str">
        <f>ContactData!E66</f>
        <v xml:space="preserve">Security Desk </v>
      </c>
      <c r="C67" s="3" t="str">
        <f>ContactData!G66</f>
        <v xml:space="preserve">EQ1 Security Desk </v>
      </c>
      <c r="D67" s="9" t="str">
        <f>IF(LEN(ContactData!I66)&lt;3,"",ContactData!I66)</f>
        <v>---</v>
      </c>
      <c r="E67" s="3" t="str">
        <f>ContactData!J66</f>
        <v>(416) 279-1894</v>
      </c>
      <c r="F67" s="3" t="str">
        <f>IF(LEN(ContactData!K66)&lt;3,"",ContactData!K66)</f>
        <v>---</v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/>
      </c>
      <c r="B68" s="3" t="str">
        <f>ContactData!E67</f>
        <v>EQ2 Office</v>
      </c>
      <c r="C68" s="3" t="str">
        <f>ContactData!G67</f>
        <v>60 Town Centre Court, Scarborough, ON, M1P 0B1</v>
      </c>
      <c r="D68" s="9" t="str">
        <f>IF(LEN(ContactData!I67)&lt;3,"",ContactData!I67)</f>
        <v/>
      </c>
      <c r="E68" s="3" t="str">
        <f>ContactData!J67</f>
        <v xml:space="preserve">T: (416) 279-0591 </v>
      </c>
      <c r="F68" s="3" t="str">
        <f>IF(LEN(ContactData!K67)&lt;3,"",ContactData!K67)</f>
        <v/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>Aaron Ma</v>
      </c>
      <c r="C69" s="3" t="str">
        <f>ContactData!G68</f>
        <v>Property Manager</v>
      </c>
      <c r="D69" s="9" t="str">
        <f>IF(LEN(ContactData!I68)&lt;3,"",ContactData!I68)</f>
        <v>(416) 684-2236</v>
      </c>
      <c r="E69" s="3" t="str">
        <f>ContactData!J68</f>
        <v>(416) 279-0591</v>
      </c>
      <c r="F69" s="3" t="str">
        <f>IF(LEN(ContactData!K68)&lt;3,"",ContactData!K68)</f>
        <v>eq2manager@livingproperties.com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>---</v>
      </c>
      <c r="B70" s="3" t="str">
        <f>ContactData!E69</f>
        <v xml:space="preserve">Security Desk </v>
      </c>
      <c r="C70" s="3" t="str">
        <f>ContactData!G69</f>
        <v xml:space="preserve">EQ2 Security Desk </v>
      </c>
      <c r="D70" s="9" t="str">
        <f>IF(LEN(ContactData!I69)&lt;3,"",ContactData!I69)</f>
        <v>---</v>
      </c>
      <c r="E70" s="3" t="str">
        <f>ContactData!J69</f>
        <v>(416) 279-1211</v>
      </c>
      <c r="F70" s="3" t="str">
        <f>IF(LEN(ContactData!K69)&lt;3,"",ContactData!K69)</f>
        <v>---</v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/>
      </c>
      <c r="B71" s="3" t="str">
        <f>ContactData!E70</f>
        <v>Alton Tower Office</v>
      </c>
      <c r="C71" s="3" t="str">
        <f>ContactData!G70</f>
        <v>160 Alton Towers Cir, Toronto, ON, M1V 4X8</v>
      </c>
      <c r="D71" s="9" t="str">
        <f>IF(LEN(ContactData!I70)&lt;3,"",ContactData!I70)</f>
        <v/>
      </c>
      <c r="E71" s="3" t="str">
        <f>ContactData!J70</f>
        <v>T: (437)-533-1208</v>
      </c>
      <c r="F71" s="3" t="str">
        <f>IF(LEN(ContactData!K70)&lt;3,"",ContactData!K70)</f>
        <v/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>Ken Kam</v>
      </c>
      <c r="C72" s="3" t="str">
        <f>ContactData!G71</f>
        <v>Property Manager</v>
      </c>
      <c r="D72" s="9" t="str">
        <f>IF(LEN(ContactData!I71)&lt;3,"",ContactData!I71)</f>
        <v>(647) 204-4455</v>
      </c>
      <c r="E72" s="3" t="str">
        <f>ContactData!J71</f>
        <v>(905) 477-2090</v>
      </c>
      <c r="F72" s="3" t="str">
        <f>IF(LEN(ContactData!K71)&lt;3,"",ContactData!K71)</f>
        <v>kenk@livingproperties.com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>---</v>
      </c>
      <c r="B73" s="3" t="str">
        <f>ContactData!E72</f>
        <v>Christie Ip</v>
      </c>
      <c r="C73" s="3" t="str">
        <f>ContactData!G72</f>
        <v>Administrative Assistant</v>
      </c>
      <c r="D73" s="9" t="str">
        <f>IF(LEN(ContactData!I72)&lt;3,"",ContactData!I72)</f>
        <v>(437)-533-1208</v>
      </c>
      <c r="E73" s="3" t="str">
        <f>ContactData!J72</f>
        <v>---</v>
      </c>
      <c r="F73" s="3" t="str">
        <f>IF(LEN(ContactData!K72)&lt;3,"",ContactData!K72)</f>
        <v xml:space="preserve">optima2@livingproperties.com </v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>---</v>
      </c>
      <c r="B74" s="3" t="str">
        <f>ContactData!E73</f>
        <v xml:space="preserve">Security Desk </v>
      </c>
      <c r="C74" s="3" t="str">
        <f>ContactData!G73</f>
        <v xml:space="preserve">Alton Tower Security Desk </v>
      </c>
      <c r="D74" s="9" t="str">
        <f>IF(LEN(ContactData!I73)&lt;3,"",ContactData!I73)</f>
        <v>---</v>
      </c>
      <c r="E74" s="3" t="str">
        <f>ContactData!J73</f>
        <v>(416) 754-3131</v>
      </c>
      <c r="F74" s="3" t="str">
        <f>IF(LEN(ContactData!K73)&lt;3,"",ContactData!K73)</f>
        <v>---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/>
      </c>
      <c r="B75" s="3" t="str">
        <f>ContactData!E74</f>
        <v>IHMG Office</v>
      </c>
      <c r="C75" s="3" t="str">
        <f>ContactData!G74</f>
        <v>8 Steelcase Road West, Markham, ON, L3R 1B2</v>
      </c>
      <c r="D75" s="9" t="str">
        <f>IF(LEN(ContactData!I74)&lt;3,"",ContactData!I74)</f>
        <v/>
      </c>
      <c r="E75" s="3" t="str">
        <f>ContactData!J74</f>
        <v>T: (905) 475-6000</v>
      </c>
      <c r="F75" s="3" t="str">
        <f>IF(LEN(ContactData!K74)&lt;3,"",ContactData!K74)</f>
        <v>info@ihmg.ca</v>
      </c>
      <c r="G75"/>
      <c r="H75"/>
      <c r="I75"/>
      <c r="J75"/>
      <c r="K75"/>
      <c r="L75"/>
    </row>
    <row r="76" spans="1:12" ht="14.4" x14ac:dyDescent="0.3">
      <c r="A76" s="9" t="str">
        <f>IF(LEN(ContactData!H75)&lt;3,"",ContactData!H75)</f>
        <v/>
      </c>
      <c r="B76" s="3" t="str">
        <f>ContactData!E75</f>
        <v>IHMGRI Office</v>
      </c>
      <c r="C76" s="3" t="str">
        <f>ContactData!G75</f>
        <v>8 Steelcase Road West, Unit E, Markham, ON, L3R 1B2</v>
      </c>
      <c r="D76" s="9" t="str">
        <f>IF(LEN(ContactData!I75)&lt;3,"",ContactData!I75)</f>
        <v/>
      </c>
      <c r="E76" s="3" t="str">
        <f>ContactData!J75</f>
        <v>T: (905) 489-8989</v>
      </c>
      <c r="F76" s="3" t="str">
        <f>IF(LEN(ContactData!K75)&lt;3,"",ContactData!K75)</f>
        <v>realestate@ihmg.ca</v>
      </c>
      <c r="G76"/>
      <c r="H76"/>
      <c r="I76"/>
      <c r="J76"/>
      <c r="K76"/>
      <c r="L76"/>
    </row>
    <row r="77" spans="1:12" ht="14.4" x14ac:dyDescent="0.3">
      <c r="A77" s="9">
        <f>IF(LEN(ContactData!H76)&lt;3,"",ContactData!H76)</f>
        <v>120</v>
      </c>
      <c r="B77" s="3" t="str">
        <f>ContactData!E76</f>
        <v>Eddie Tang</v>
      </c>
      <c r="C77" s="3" t="str">
        <f>ContactData!G76</f>
        <v>Financial Controller</v>
      </c>
      <c r="D77" s="9" t="str">
        <f>IF(LEN(ContactData!I76)&lt;3,"",ContactData!I76)</f>
        <v>(416) 723-8329</v>
      </c>
      <c r="E77" s="3" t="str">
        <f>ContactData!J76</f>
        <v>(905) 489-0186</v>
      </c>
      <c r="F77" s="3" t="str">
        <f>IF(LEN(ContactData!K76)&lt;3,"",ContactData!K76)</f>
        <v>eddie@ihmg.ca</v>
      </c>
      <c r="G77"/>
      <c r="H77"/>
      <c r="I77"/>
      <c r="J77"/>
      <c r="K77"/>
      <c r="L77"/>
    </row>
    <row r="78" spans="1:12" ht="14.4" x14ac:dyDescent="0.3">
      <c r="A78" s="9">
        <f>IF(LEN(ContactData!H77)&lt;3,"",ContactData!H77)</f>
        <v>187</v>
      </c>
      <c r="B78" s="3" t="str">
        <f>ContactData!E77</f>
        <v>Lily Hou</v>
      </c>
      <c r="C78" s="3" t="str">
        <f>ContactData!G77</f>
        <v>Senior Accounting Analyst &amp; Operations Support</v>
      </c>
      <c r="D78" s="9" t="str">
        <f>IF(LEN(ContactData!I77)&lt;3,"",ContactData!I77)</f>
        <v>(647) 774-8994</v>
      </c>
      <c r="E78" s="3" t="str">
        <f>ContactData!J77</f>
        <v>---</v>
      </c>
      <c r="F78" s="3" t="str">
        <f>IF(LEN(ContactData!K77)&lt;3,"",ContactData!K77)</f>
        <v>lily@ihmg.ca</v>
      </c>
      <c r="G78"/>
      <c r="H78"/>
      <c r="I78"/>
      <c r="J78"/>
      <c r="K78"/>
      <c r="L78"/>
    </row>
    <row r="79" spans="1:12" ht="14.4" x14ac:dyDescent="0.3">
      <c r="A79" s="1"/>
      <c r="B79"/>
      <c r="C79"/>
      <c r="D79"/>
      <c r="E79"/>
      <c r="F79"/>
      <c r="G79"/>
      <c r="H79"/>
      <c r="I79"/>
      <c r="J79"/>
      <c r="K79"/>
      <c r="L79"/>
    </row>
    <row r="80" spans="1:12" ht="14.4" x14ac:dyDescent="0.3">
      <c r="A80" s="1"/>
      <c r="B80"/>
      <c r="C80"/>
      <c r="D80"/>
      <c r="E80"/>
      <c r="F80"/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4.4" x14ac:dyDescent="0.3">
      <c r="A362" s="1"/>
      <c r="B362"/>
      <c r="C362"/>
      <c r="D362"/>
      <c r="E362"/>
      <c r="F362"/>
      <c r="G362"/>
      <c r="H362"/>
      <c r="I362"/>
      <c r="J362"/>
      <c r="K362"/>
      <c r="L362"/>
    </row>
  </sheetData>
  <conditionalFormatting sqref="A3:A78 D3:D78">
    <cfRule type="containsBlanks" dxfId="31" priority="17">
      <formula>LEN(TRIM(A3))=0</formula>
    </cfRule>
  </conditionalFormatting>
  <conditionalFormatting sqref="B3:B78">
    <cfRule type="containsText" dxfId="30" priority="16" operator="containsText" text="Office">
      <formula>NOT(ISERROR(SEARCH("Office",B3)))</formula>
    </cfRule>
  </conditionalFormatting>
  <conditionalFormatting sqref="C3:C78">
    <cfRule type="containsText" dxfId="29" priority="15" operator="containsText" text="ON,">
      <formula>NOT(ISERROR(SEARCH("ON,",C3)))</formula>
    </cfRule>
  </conditionalFormatting>
  <conditionalFormatting sqref="E3:E78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78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6"/>
  <sheetViews>
    <sheetView showGridLines="0" tabSelected="1" workbookViewId="0">
      <selection activeCell="H12" sqref="H12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317</v>
      </c>
    </row>
    <row r="2" spans="1:9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President,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</row>
    <row r="16" spans="1:9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</row>
    <row r="17" spans="1:9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</row>
    <row r="18" spans="1:9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</row>
    <row r="19" spans="1:9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</row>
    <row r="20" spans="1:9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</row>
    <row r="21" spans="1:9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</row>
    <row r="22" spans="1:9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</row>
    <row r="23" spans="1:9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</row>
    <row r="24" spans="1:9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 &amp; System Architect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</row>
    <row r="26" spans="1:9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</row>
    <row r="27" spans="1:9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</row>
    <row r="30" spans="1:9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</row>
    <row r="31" spans="1:9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</row>
    <row r="34" spans="1:9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</row>
    <row r="35" spans="1:9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</row>
    <row r="36" spans="1:9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</row>
    <row r="37" spans="1:9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</row>
    <row r="38" spans="1:9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</row>
    <row r="39" spans="1:9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</row>
    <row r="40" spans="1:9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</row>
    <row r="41" spans="1:9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</row>
    <row r="44" spans="1:9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</row>
    <row r="45" spans="1:9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</row>
    <row r="46" spans="1:9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</row>
    <row r="47" spans="1:9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</row>
    <row r="48" spans="1:9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</row>
    <row r="49" spans="1:9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</row>
    <row r="50" spans="1:9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</row>
    <row r="51" spans="1:9" ht="14.4" x14ac:dyDescent="0.3">
      <c r="A51" s="9">
        <f>IF(LEN(ContactData!H50)&lt;3,"",ContactData!H50)</f>
        <v>168</v>
      </c>
      <c r="B51" s="3" t="str">
        <f>ContactData!E50</f>
        <v>Stanley Wu</v>
      </c>
      <c r="C51" s="3" t="str">
        <f>ContactData!G50</f>
        <v>Property Manager</v>
      </c>
      <c r="D51" s="9" t="str">
        <f>IF(LEN(ContactData!I50)&lt;3,"",ContactData!I50)</f>
        <v>---</v>
      </c>
      <c r="E51" s="3" t="str">
        <f>ContactData!J50</f>
        <v>(905) 477-2090</v>
      </c>
      <c r="F51" s="3" t="str">
        <f>IF(LEN(ContactData!K50)&lt;3,"",ContactData!K50)</f>
        <v>stanleyw@livingproperties.com</v>
      </c>
      <c r="G51"/>
      <c r="H51"/>
      <c r="I51"/>
    </row>
    <row r="52" spans="1:9" ht="14.4" x14ac:dyDescent="0.3">
      <c r="A52" s="9">
        <f>IF(LEN(ContactData!H51)&lt;3,"",ContactData!H51)</f>
        <v>210</v>
      </c>
      <c r="B52" s="3" t="str">
        <f>ContactData!E51</f>
        <v>Loretta Leung</v>
      </c>
      <c r="C52" s="3" t="str">
        <f>ContactData!G51</f>
        <v>Executive Assistant</v>
      </c>
      <c r="D52" s="9" t="str">
        <f>IF(LEN(ContactData!I51)&lt;3,"",ContactData!I51)</f>
        <v>---</v>
      </c>
      <c r="E52" s="3" t="str">
        <f>ContactData!J51</f>
        <v>---</v>
      </c>
      <c r="F52" s="3" t="str">
        <f>IF(LEN(ContactData!K51)&lt;3,"",ContactData!K51)</f>
        <v>lorettal@livingproperties.com</v>
      </c>
      <c r="G52"/>
      <c r="H52"/>
      <c r="I52"/>
    </row>
    <row r="53" spans="1:9" ht="14.4" x14ac:dyDescent="0.3">
      <c r="A53" s="9">
        <f>IF(LEN(ContactData!H52)&lt;3,"",ContactData!H52)</f>
        <v>518</v>
      </c>
      <c r="B53" s="3" t="str">
        <f>ContactData!E52</f>
        <v>Simon Li</v>
      </c>
      <c r="C53" s="3" t="str">
        <f>ContactData!G52</f>
        <v>Senior Accountant</v>
      </c>
      <c r="D53" s="9" t="str">
        <f>IF(LEN(ContactData!I52)&lt;3,"",ContactData!I52)</f>
        <v>---</v>
      </c>
      <c r="E53" s="3" t="str">
        <f>ContactData!J52</f>
        <v>(905) 752-3518</v>
      </c>
      <c r="F53" s="3" t="str">
        <f>IF(LEN(ContactData!K52)&lt;3,"",ContactData!K52)</f>
        <v>simonl@livingproperties.com</v>
      </c>
      <c r="G53"/>
      <c r="H53"/>
      <c r="I53"/>
    </row>
    <row r="54" spans="1:9" ht="14.4" x14ac:dyDescent="0.3">
      <c r="A54" s="9">
        <f>IF(LEN(ContactData!H53)&lt;3,"",ContactData!H53)</f>
        <v>281</v>
      </c>
      <c r="B54" s="3" t="str">
        <f>ContactData!E53</f>
        <v>Nicole Leung</v>
      </c>
      <c r="C54" s="3" t="str">
        <f>ContactData!G53</f>
        <v>Property Accountant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nicolel@livingproperties.com</v>
      </c>
      <c r="G54"/>
      <c r="H54"/>
      <c r="I54"/>
    </row>
    <row r="55" spans="1:9" ht="14.4" x14ac:dyDescent="0.3">
      <c r="A55" s="9">
        <f>IF(LEN(ContactData!H54)&lt;3,"",ContactData!H54)</f>
        <v>523</v>
      </c>
      <c r="B55" s="3" t="str">
        <f>ContactData!E54</f>
        <v>Vivian Lum</v>
      </c>
      <c r="C55" s="3" t="str">
        <f>ContactData!G54</f>
        <v>Accounts Receivable Clerk</v>
      </c>
      <c r="D55" s="9" t="str">
        <f>IF(LEN(ContactData!I54)&lt;3,"",ContactData!I54)</f>
        <v>---</v>
      </c>
      <c r="E55" s="3" t="str">
        <f>ContactData!J54</f>
        <v>(905) 752-3523</v>
      </c>
      <c r="F55" s="3" t="str">
        <f>IF(LEN(ContactData!K54)&lt;3,"",ContactData!K54)</f>
        <v>vivianl@livingproperties.com</v>
      </c>
      <c r="G55"/>
      <c r="H55"/>
      <c r="I55"/>
    </row>
    <row r="56" spans="1:9" ht="14.4" x14ac:dyDescent="0.3">
      <c r="A56" s="9">
        <f>IF(LEN(ContactData!H55)&lt;3,"",ContactData!H55)</f>
        <v>223</v>
      </c>
      <c r="B56" s="3" t="str">
        <f>ContactData!E55</f>
        <v>Jessica Lee</v>
      </c>
      <c r="C56" s="3" t="str">
        <f>ContactData!G55</f>
        <v xml:space="preserve">Accounting Clerk 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jessical@livingproperties.com</v>
      </c>
      <c r="G56"/>
      <c r="H56"/>
      <c r="I56"/>
    </row>
    <row r="57" spans="1:9" ht="14.4" x14ac:dyDescent="0.3">
      <c r="A57" s="9">
        <f>IF(LEN(ContactData!H56)&lt;3,"",ContactData!H56)</f>
        <v>172</v>
      </c>
      <c r="B57" s="3" t="str">
        <f>ContactData!E56</f>
        <v>Rebecca Lau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rebeccal@livingproperties.com</v>
      </c>
      <c r="G57"/>
      <c r="H57"/>
      <c r="I57"/>
    </row>
    <row r="58" spans="1:9" ht="14.4" x14ac:dyDescent="0.3">
      <c r="A58" s="9">
        <f>IF(LEN(ContactData!H57)&lt;3,"",ContactData!H57)</f>
        <v>182</v>
      </c>
      <c r="B58" s="3" t="str">
        <f>ContactData!E57</f>
        <v>Kelvin Chan</v>
      </c>
      <c r="C58" s="3" t="str">
        <f>ContactData!G57</f>
        <v>Administrative Assistant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kelvinc@livingproperties.com</v>
      </c>
      <c r="G58"/>
      <c r="H58"/>
      <c r="I58"/>
    </row>
    <row r="59" spans="1:9" ht="14.4" x14ac:dyDescent="0.3">
      <c r="A59" s="9">
        <f>IF(LEN(ContactData!H58)&lt;3,"",ContactData!H58)</f>
        <v>229</v>
      </c>
      <c r="B59" s="3" t="str">
        <f>ContactData!E58</f>
        <v>Matthew Wong</v>
      </c>
      <c r="C59" s="3" t="str">
        <f>ContactData!G58</f>
        <v>Accounting Clerk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mattheww@livingproperties.com</v>
      </c>
      <c r="G59"/>
      <c r="H59"/>
      <c r="I59"/>
    </row>
    <row r="60" spans="1:9" ht="14.4" x14ac:dyDescent="0.3">
      <c r="A60" s="9" t="str">
        <f>IF(LEN(ContactData!H59)&lt;3,"",ContactData!H59)</f>
        <v>---</v>
      </c>
      <c r="B60" s="3" t="str">
        <f>ContactData!E59</f>
        <v>Gus B</v>
      </c>
      <c r="C60" s="3" t="str">
        <f>ContactData!G59</f>
        <v>Handyman</v>
      </c>
      <c r="D60" s="9" t="str">
        <f>IF(LEN(ContactData!I59)&lt;3,"",ContactData!I59)</f>
        <v>---</v>
      </c>
      <c r="E60" s="3" t="str">
        <f>ContactData!J59</f>
        <v>(905) 477-2090</v>
      </c>
      <c r="F60" s="3" t="str">
        <f>IF(LEN(ContactData!K59)&lt;3,"",ContactData!K59)</f>
        <v>gusb@livcontruction.ca</v>
      </c>
      <c r="G60"/>
      <c r="H60"/>
      <c r="I60"/>
    </row>
    <row r="61" spans="1:9" ht="14.4" x14ac:dyDescent="0.3">
      <c r="A61" s="9" t="str">
        <f>IF(LEN(ContactData!H60)&lt;3,"",ContactData!H60)</f>
        <v/>
      </c>
      <c r="B61" s="3" t="str">
        <f>ContactData!E60</f>
        <v>Centro Towers Office</v>
      </c>
      <c r="C61" s="3" t="str">
        <f>ContactData!G60</f>
        <v>25 Town Centre Crt, Scarborough, ON, M1P 0B4</v>
      </c>
      <c r="D61" s="9" t="str">
        <f>IF(LEN(ContactData!I60)&lt;3,"",ContactData!I60)</f>
        <v/>
      </c>
      <c r="E61" s="3" t="str">
        <f>ContactData!J60</f>
        <v>T: (416) 290-1242</v>
      </c>
      <c r="F61" s="3" t="str">
        <f>IF(LEN(ContactData!K60)&lt;3,"",ContactData!K60)</f>
        <v/>
      </c>
      <c r="G61"/>
      <c r="H61"/>
      <c r="I61"/>
    </row>
    <row r="62" spans="1:9" ht="14.4" x14ac:dyDescent="0.3">
      <c r="A62" s="9" t="str">
        <f>IF(LEN(ContactData!H61)&lt;3,"",ContactData!H61)</f>
        <v>---</v>
      </c>
      <c r="B62" s="3" t="str">
        <f>ContactData!E61</f>
        <v>Henry Fu</v>
      </c>
      <c r="C62" s="3" t="str">
        <f>ContactData!G61</f>
        <v>Property Manager</v>
      </c>
      <c r="D62" s="9" t="str">
        <f>IF(LEN(ContactData!I61)&lt;3,"",ContactData!I61)</f>
        <v>(416) 278-2953</v>
      </c>
      <c r="E62" s="3" t="str">
        <f>ContactData!J61</f>
        <v>(416) 290-1242</v>
      </c>
      <c r="F62" s="3" t="str">
        <f>IF(LEN(ContactData!K61)&lt;3,"",ContactData!K61)</f>
        <v>henry@centrotowers.com</v>
      </c>
      <c r="G62"/>
      <c r="H62"/>
      <c r="I62"/>
    </row>
    <row r="63" spans="1:9" ht="14.4" x14ac:dyDescent="0.3">
      <c r="A63" s="9" t="str">
        <f>IF(LEN(ContactData!H62)&lt;3,"",ContactData!H62)</f>
        <v>---</v>
      </c>
      <c r="B63" s="3" t="str">
        <f>ContactData!E62</f>
        <v>Sophia Yip</v>
      </c>
      <c r="C63" s="3" t="str">
        <f>ContactData!G62</f>
        <v>Property Administrator</v>
      </c>
      <c r="D63" s="9" t="str">
        <f>IF(LEN(ContactData!I62)&lt;3,"",ContactData!I62)</f>
        <v>---</v>
      </c>
      <c r="E63" s="3" t="str">
        <f>ContactData!J62</f>
        <v>(416) 290-1242</v>
      </c>
      <c r="F63" s="3" t="str">
        <f>IF(LEN(ContactData!K62)&lt;3,"",ContactData!K62)</f>
        <v>sophia@centrotowers.com</v>
      </c>
      <c r="G63"/>
      <c r="H63"/>
      <c r="I63"/>
    </row>
    <row r="64" spans="1:9" ht="14.4" x14ac:dyDescent="0.3">
      <c r="A64" s="9" t="str">
        <f>IF(LEN(ContactData!H63)&lt;3,"",ContactData!H63)</f>
        <v>---</v>
      </c>
      <c r="B64" s="3" t="str">
        <f>ContactData!E63</f>
        <v xml:space="preserve">Security Desk </v>
      </c>
      <c r="C64" s="3" t="str">
        <f>ContactData!G63</f>
        <v xml:space="preserve">Centro Security Desk </v>
      </c>
      <c r="D64" s="9" t="str">
        <f>IF(LEN(ContactData!I63)&lt;3,"",ContactData!I63)</f>
        <v>---</v>
      </c>
      <c r="E64" s="3" t="str">
        <f>ContactData!J63</f>
        <v>(416) 296-0099</v>
      </c>
      <c r="F64" s="3" t="str">
        <f>IF(LEN(ContactData!K63)&lt;3,"",ContactData!K63)</f>
        <v>---</v>
      </c>
      <c r="G64"/>
      <c r="H64"/>
      <c r="I64"/>
    </row>
    <row r="65" spans="1:9" ht="14.4" x14ac:dyDescent="0.3">
      <c r="A65" s="9" t="str">
        <f>IF(LEN(ContactData!H64)&lt;3,"",ContactData!H64)</f>
        <v/>
      </c>
      <c r="B65" s="3" t="str">
        <f>ContactData!E64</f>
        <v>EQ1 Office</v>
      </c>
      <c r="C65" s="3" t="str">
        <f>ContactData!G64</f>
        <v>70 Town Centre Court, Scarborough, ON, M1P 0B2</v>
      </c>
      <c r="D65" s="9" t="str">
        <f>IF(LEN(ContactData!I64)&lt;3,"",ContactData!I64)</f>
        <v/>
      </c>
      <c r="E65" s="3" t="str">
        <f>ContactData!J64</f>
        <v xml:space="preserve">T: (416) 279-0603 </v>
      </c>
      <c r="F65" s="3" t="str">
        <f>IF(LEN(ContactData!K64)&lt;3,"",ContactData!K64)</f>
        <v>eq1@livingproperties.com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>Ming Ip</v>
      </c>
      <c r="C66" s="3" t="str">
        <f>ContactData!G65</f>
        <v>Property Manager</v>
      </c>
      <c r="D66" s="9" t="str">
        <f>IF(LEN(ContactData!I65)&lt;3,"",ContactData!I65)</f>
        <v>(647) 286-0147</v>
      </c>
      <c r="E66" s="3" t="str">
        <f>ContactData!J65</f>
        <v xml:space="preserve">(416) 279-0603 </v>
      </c>
      <c r="F66" s="3" t="str">
        <f>IF(LEN(ContactData!K65)&lt;3,"",ContactData!K65)</f>
        <v>eq1manager@livingproperties.com</v>
      </c>
      <c r="G66"/>
      <c r="H66"/>
      <c r="I66"/>
    </row>
    <row r="67" spans="1:9" ht="14.4" x14ac:dyDescent="0.3">
      <c r="A67" s="9" t="str">
        <f>IF(LEN(ContactData!H66)&lt;3,"",ContactData!H66)</f>
        <v>---</v>
      </c>
      <c r="B67" s="3" t="str">
        <f>ContactData!E66</f>
        <v xml:space="preserve">Security Desk </v>
      </c>
      <c r="C67" s="3" t="str">
        <f>ContactData!G66</f>
        <v xml:space="preserve">EQ1 Security Desk </v>
      </c>
      <c r="D67" s="9" t="str">
        <f>IF(LEN(ContactData!I66)&lt;3,"",ContactData!I66)</f>
        <v>---</v>
      </c>
      <c r="E67" s="3" t="str">
        <f>ContactData!J66</f>
        <v>(416) 279-1894</v>
      </c>
      <c r="F67" s="3" t="str">
        <f>IF(LEN(ContactData!K66)&lt;3,"",ContactData!K66)</f>
        <v>---</v>
      </c>
      <c r="G67"/>
      <c r="H67"/>
      <c r="I67"/>
    </row>
    <row r="68" spans="1:9" ht="14.4" x14ac:dyDescent="0.3">
      <c r="A68" s="9" t="str">
        <f>IF(LEN(ContactData!H67)&lt;3,"",ContactData!H67)</f>
        <v/>
      </c>
      <c r="B68" s="3" t="str">
        <f>ContactData!E67</f>
        <v>EQ2 Office</v>
      </c>
      <c r="C68" s="3" t="str">
        <f>ContactData!G67</f>
        <v>60 Town Centre Court, Scarborough, ON, M1P 0B1</v>
      </c>
      <c r="D68" s="9" t="str">
        <f>IF(LEN(ContactData!I67)&lt;3,"",ContactData!I67)</f>
        <v/>
      </c>
      <c r="E68" s="3" t="str">
        <f>ContactData!J67</f>
        <v xml:space="preserve">T: (416) 279-0591 </v>
      </c>
      <c r="F68" s="3" t="str">
        <f>IF(LEN(ContactData!K67)&lt;3,"",ContactData!K67)</f>
        <v/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>Aaron Ma</v>
      </c>
      <c r="C69" s="3" t="str">
        <f>ContactData!G68</f>
        <v>Property Manager</v>
      </c>
      <c r="D69" s="9" t="str">
        <f>IF(LEN(ContactData!I68)&lt;3,"",ContactData!I68)</f>
        <v>(416) 684-2236</v>
      </c>
      <c r="E69" s="3" t="str">
        <f>ContactData!J68</f>
        <v>(416) 279-0591</v>
      </c>
      <c r="F69" s="3" t="str">
        <f>IF(LEN(ContactData!K68)&lt;3,"",ContactData!K68)</f>
        <v>eq2manager@livingproperties.com</v>
      </c>
      <c r="G69"/>
      <c r="H69"/>
      <c r="I69"/>
    </row>
    <row r="70" spans="1:9" ht="14.4" x14ac:dyDescent="0.3">
      <c r="A70" s="9" t="str">
        <f>IF(LEN(ContactData!H69)&lt;3,"",ContactData!H69)</f>
        <v>---</v>
      </c>
      <c r="B70" s="3" t="str">
        <f>ContactData!E69</f>
        <v xml:space="preserve">Security Desk </v>
      </c>
      <c r="C70" s="3" t="str">
        <f>ContactData!G69</f>
        <v xml:space="preserve">EQ2 Security Desk </v>
      </c>
      <c r="D70" s="9" t="str">
        <f>IF(LEN(ContactData!I69)&lt;3,"",ContactData!I69)</f>
        <v>---</v>
      </c>
      <c r="E70" s="3" t="str">
        <f>ContactData!J69</f>
        <v>(416) 279-1211</v>
      </c>
      <c r="F70" s="3" t="str">
        <f>IF(LEN(ContactData!K69)&lt;3,"",ContactData!K69)</f>
        <v>---</v>
      </c>
      <c r="G70"/>
      <c r="H70"/>
      <c r="I70"/>
    </row>
    <row r="71" spans="1:9" ht="14.4" x14ac:dyDescent="0.3">
      <c r="A71" s="9" t="str">
        <f>IF(LEN(ContactData!H70)&lt;3,"",ContactData!H70)</f>
        <v/>
      </c>
      <c r="B71" s="3" t="str">
        <f>ContactData!E70</f>
        <v>Alton Tower Office</v>
      </c>
      <c r="C71" s="3" t="str">
        <f>ContactData!G70</f>
        <v>160 Alton Towers Cir, Toronto, ON, M1V 4X8</v>
      </c>
      <c r="D71" s="9" t="str">
        <f>IF(LEN(ContactData!I70)&lt;3,"",ContactData!I70)</f>
        <v/>
      </c>
      <c r="E71" s="3" t="str">
        <f>ContactData!J70</f>
        <v>T: (437)-533-1208</v>
      </c>
      <c r="F71" s="3" t="str">
        <f>IF(LEN(ContactData!K70)&lt;3,"",ContactData!K70)</f>
        <v/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>Ken Kam</v>
      </c>
      <c r="C72" s="3" t="str">
        <f>ContactData!G71</f>
        <v>Property Manager</v>
      </c>
      <c r="D72" s="9" t="str">
        <f>IF(LEN(ContactData!I71)&lt;3,"",ContactData!I71)</f>
        <v>(647) 204-4455</v>
      </c>
      <c r="E72" s="3" t="str">
        <f>ContactData!J71</f>
        <v>(905) 477-2090</v>
      </c>
      <c r="F72" s="3" t="str">
        <f>IF(LEN(ContactData!K71)&lt;3,"",ContactData!K71)</f>
        <v>kenk@livingproperties.com</v>
      </c>
      <c r="G72"/>
      <c r="H72"/>
      <c r="I72"/>
    </row>
    <row r="73" spans="1:9" ht="14.4" x14ac:dyDescent="0.3">
      <c r="A73" s="9" t="str">
        <f>IF(LEN(ContactData!H72)&lt;3,"",ContactData!H72)</f>
        <v>---</v>
      </c>
      <c r="B73" s="3" t="str">
        <f>ContactData!E72</f>
        <v>Christie Ip</v>
      </c>
      <c r="C73" s="3" t="str">
        <f>ContactData!G72</f>
        <v>Administrative Assistant</v>
      </c>
      <c r="D73" s="9" t="str">
        <f>IF(LEN(ContactData!I72)&lt;3,"",ContactData!I72)</f>
        <v>(437)-533-1208</v>
      </c>
      <c r="E73" s="3" t="str">
        <f>ContactData!J72</f>
        <v>---</v>
      </c>
      <c r="F73" s="3" t="str">
        <f>IF(LEN(ContactData!K72)&lt;3,"",ContactData!K72)</f>
        <v xml:space="preserve">optima2@livingproperties.com </v>
      </c>
      <c r="G73"/>
      <c r="H73"/>
      <c r="I73"/>
    </row>
    <row r="74" spans="1:9" ht="14.4" x14ac:dyDescent="0.3">
      <c r="A74" s="9" t="str">
        <f>IF(LEN(ContactData!H73)&lt;3,"",ContactData!H73)</f>
        <v>---</v>
      </c>
      <c r="B74" s="3" t="str">
        <f>ContactData!E73</f>
        <v xml:space="preserve">Security Desk </v>
      </c>
      <c r="C74" s="3" t="str">
        <f>ContactData!G73</f>
        <v xml:space="preserve">Alton Tower Security Desk </v>
      </c>
      <c r="D74" s="9" t="str">
        <f>IF(LEN(ContactData!I73)&lt;3,"",ContactData!I73)</f>
        <v>---</v>
      </c>
      <c r="E74" s="3" t="str">
        <f>ContactData!J73</f>
        <v>(416) 754-3131</v>
      </c>
      <c r="F74" s="3" t="str">
        <f>IF(LEN(ContactData!K73)&lt;3,"",ContactData!K73)</f>
        <v>---</v>
      </c>
      <c r="G74"/>
      <c r="H74"/>
      <c r="I74"/>
    </row>
    <row r="75" spans="1:9" ht="14.4" x14ac:dyDescent="0.3">
      <c r="A75" s="9" t="str">
        <f>IF(LEN(ContactData!H74)&lt;3,"",ContactData!H74)</f>
        <v/>
      </c>
      <c r="B75" s="3" t="str">
        <f>ContactData!E74</f>
        <v>IHMG Office</v>
      </c>
      <c r="C75" s="3" t="str">
        <f>ContactData!G74</f>
        <v>8 Steelcase Road West, Markham, ON, L3R 1B2</v>
      </c>
      <c r="D75" s="9" t="str">
        <f>IF(LEN(ContactData!I74)&lt;3,"",ContactData!I74)</f>
        <v/>
      </c>
      <c r="E75" s="3" t="str">
        <f>ContactData!J74</f>
        <v>T: (905) 475-6000</v>
      </c>
      <c r="F75" s="3" t="str">
        <f>IF(LEN(ContactData!K74)&lt;3,"",ContactData!K74)</f>
        <v>info@ihmg.ca</v>
      </c>
      <c r="G75"/>
      <c r="H75"/>
      <c r="I75"/>
    </row>
    <row r="76" spans="1:9" ht="14.4" x14ac:dyDescent="0.3">
      <c r="A76" s="9" t="str">
        <f>IF(LEN(ContactData!H75)&lt;3,"",ContactData!H75)</f>
        <v/>
      </c>
      <c r="B76" s="3" t="str">
        <f>ContactData!E75</f>
        <v>IHMGRI Office</v>
      </c>
      <c r="C76" s="3" t="str">
        <f>ContactData!G75</f>
        <v>8 Steelcase Road West, Unit E, Markham, ON, L3R 1B2</v>
      </c>
      <c r="D76" s="9" t="str">
        <f>IF(LEN(ContactData!I75)&lt;3,"",ContactData!I75)</f>
        <v/>
      </c>
      <c r="E76" s="3" t="str">
        <f>ContactData!J75</f>
        <v>T: (905) 489-8989</v>
      </c>
      <c r="F76" s="3" t="str">
        <f>IF(LEN(ContactData!K75)&lt;3,"",ContactData!K75)</f>
        <v>realestate@ihmg.ca</v>
      </c>
      <c r="G76"/>
      <c r="H76"/>
      <c r="I76"/>
    </row>
    <row r="77" spans="1:9" ht="14.4" x14ac:dyDescent="0.3">
      <c r="A77" s="9">
        <f>IF(LEN(ContactData!H76)&lt;3,"",ContactData!H76)</f>
        <v>120</v>
      </c>
      <c r="B77" s="3" t="str">
        <f>ContactData!E76</f>
        <v>Eddie Tang</v>
      </c>
      <c r="C77" s="3" t="str">
        <f>ContactData!G76</f>
        <v>Financial Controller</v>
      </c>
      <c r="D77" s="9" t="str">
        <f>IF(LEN(ContactData!I76)&lt;3,"",ContactData!I76)</f>
        <v>(416) 723-8329</v>
      </c>
      <c r="E77" s="3" t="str">
        <f>ContactData!J76</f>
        <v>(905) 489-0186</v>
      </c>
      <c r="F77" s="3" t="str">
        <f>IF(LEN(ContactData!K76)&lt;3,"",ContactData!K76)</f>
        <v>eddie@ihmg.ca</v>
      </c>
      <c r="G77"/>
      <c r="H77"/>
      <c r="I77"/>
    </row>
    <row r="78" spans="1:9" ht="14.4" x14ac:dyDescent="0.3">
      <c r="A78" s="9">
        <f>IF(LEN(ContactData!H77)&lt;3,"",ContactData!H77)</f>
        <v>187</v>
      </c>
      <c r="B78" s="3" t="str">
        <f>ContactData!E77</f>
        <v>Lily Hou</v>
      </c>
      <c r="C78" s="3" t="str">
        <f>ContactData!G77</f>
        <v>Senior Accounting Analyst &amp; Operations Support</v>
      </c>
      <c r="D78" s="9" t="str">
        <f>IF(LEN(ContactData!I77)&lt;3,"",ContactData!I77)</f>
        <v>(647) 774-8994</v>
      </c>
      <c r="E78" s="3" t="str">
        <f>ContactData!J77</f>
        <v>---</v>
      </c>
      <c r="F78" s="3" t="str">
        <f>IF(LEN(ContactData!K77)&lt;3,"",ContactData!K77)</f>
        <v>lily@ihmg.ca</v>
      </c>
      <c r="G78"/>
      <c r="H78"/>
      <c r="I78"/>
    </row>
    <row r="79" spans="1:9" ht="14.4" x14ac:dyDescent="0.3">
      <c r="A79" s="1"/>
      <c r="B79"/>
      <c r="C79"/>
      <c r="D79"/>
      <c r="E79"/>
      <c r="F79"/>
      <c r="G79"/>
      <c r="H79"/>
      <c r="I79"/>
    </row>
    <row r="80" spans="1:9" ht="14.4" x14ac:dyDescent="0.3">
      <c r="A80" s="1"/>
      <c r="B80"/>
      <c r="C80"/>
      <c r="D80"/>
      <c r="E80"/>
      <c r="F80"/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  <row r="366" spans="1:9" ht="14.4" x14ac:dyDescent="0.3">
      <c r="A366" s="1"/>
      <c r="B366"/>
      <c r="C366"/>
      <c r="D366"/>
      <c r="E366"/>
      <c r="F366"/>
      <c r="G366"/>
      <c r="H366"/>
      <c r="I366"/>
    </row>
  </sheetData>
  <conditionalFormatting sqref="A3:A78 D3:D78">
    <cfRule type="containsBlanks" dxfId="15" priority="18">
      <formula>LEN(TRIM(A3))=0</formula>
    </cfRule>
  </conditionalFormatting>
  <conditionalFormatting sqref="B3:B78">
    <cfRule type="containsText" dxfId="14" priority="16" operator="containsText" text="Office">
      <formula>NOT(ISERROR(SEARCH("Office",B3)))</formula>
    </cfRule>
  </conditionalFormatting>
  <conditionalFormatting sqref="C3:C78">
    <cfRule type="containsText" dxfId="13" priority="15" operator="containsText" text="ON,">
      <formula>NOT(ISERROR(SEARCH("ON,",C3)))</formula>
    </cfRule>
  </conditionalFormatting>
  <conditionalFormatting sqref="E3:E78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78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3"/>
  <sheetViews>
    <sheetView workbookViewId="0">
      <selection activeCell="G12" sqref="G12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165</v>
      </c>
      <c r="B1" t="s">
        <v>166</v>
      </c>
      <c r="C1" t="s">
        <v>167</v>
      </c>
      <c r="D1" t="s">
        <v>201</v>
      </c>
      <c r="E1" t="s">
        <v>168</v>
      </c>
      <c r="F1" t="s">
        <v>282</v>
      </c>
      <c r="G1" t="s">
        <v>149</v>
      </c>
      <c r="H1" t="s">
        <v>1</v>
      </c>
      <c r="I1" t="s">
        <v>169</v>
      </c>
      <c r="J1" t="s">
        <v>170</v>
      </c>
      <c r="K1" t="s">
        <v>5</v>
      </c>
      <c r="L1" t="s">
        <v>176</v>
      </c>
      <c r="M1" t="s">
        <v>192</v>
      </c>
    </row>
    <row r="2" spans="1:13" x14ac:dyDescent="0.3">
      <c r="A2" s="5">
        <v>1</v>
      </c>
      <c r="B2" t="s">
        <v>179</v>
      </c>
      <c r="C2" t="s">
        <v>171</v>
      </c>
      <c r="D2">
        <v>1</v>
      </c>
      <c r="E2" t="s">
        <v>8</v>
      </c>
      <c r="G2" t="s">
        <v>9</v>
      </c>
      <c r="H2" s="6" t="s">
        <v>195</v>
      </c>
      <c r="I2" s="6" t="s">
        <v>195</v>
      </c>
      <c r="J2" t="s">
        <v>10</v>
      </c>
      <c r="K2" s="12" t="s">
        <v>195</v>
      </c>
      <c r="L2" t="s">
        <v>158</v>
      </c>
      <c r="M2" t="str">
        <f t="shared" ref="M2:M30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179</v>
      </c>
      <c r="C3" t="s">
        <v>171</v>
      </c>
      <c r="D3">
        <v>1</v>
      </c>
      <c r="E3" t="s">
        <v>11</v>
      </c>
      <c r="F3" t="s">
        <v>283</v>
      </c>
      <c r="G3" t="s">
        <v>12</v>
      </c>
      <c r="H3">
        <v>500</v>
      </c>
      <c r="I3" s="6" t="s">
        <v>13</v>
      </c>
      <c r="J3" s="6" t="s">
        <v>196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179</v>
      </c>
      <c r="C4" t="s">
        <v>171</v>
      </c>
      <c r="D4">
        <v>1</v>
      </c>
      <c r="E4" t="s">
        <v>14</v>
      </c>
      <c r="F4" t="s">
        <v>283</v>
      </c>
      <c r="G4" t="s">
        <v>15</v>
      </c>
      <c r="H4">
        <v>511</v>
      </c>
      <c r="I4" t="s">
        <v>16</v>
      </c>
      <c r="J4" t="s">
        <v>197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179</v>
      </c>
      <c r="C5" t="s">
        <v>171</v>
      </c>
      <c r="D5">
        <v>1</v>
      </c>
      <c r="E5" t="s">
        <v>17</v>
      </c>
      <c r="F5" t="s">
        <v>283</v>
      </c>
      <c r="G5" t="s">
        <v>237</v>
      </c>
      <c r="H5">
        <v>228</v>
      </c>
      <c r="I5" t="s">
        <v>18</v>
      </c>
      <c r="J5" s="6" t="s">
        <v>13</v>
      </c>
      <c r="K5" s="4" t="s">
        <v>236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179</v>
      </c>
      <c r="C6" t="s">
        <v>171</v>
      </c>
      <c r="D6">
        <v>1</v>
      </c>
      <c r="E6" t="s">
        <v>208</v>
      </c>
      <c r="F6" t="s">
        <v>283</v>
      </c>
      <c r="G6" t="s">
        <v>238</v>
      </c>
      <c r="H6">
        <v>521</v>
      </c>
      <c r="I6" t="s">
        <v>24</v>
      </c>
      <c r="J6" t="s">
        <v>25</v>
      </c>
      <c r="K6" s="4" t="s">
        <v>243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179</v>
      </c>
      <c r="C7" t="s">
        <v>171</v>
      </c>
      <c r="D7">
        <v>1</v>
      </c>
      <c r="E7" t="s">
        <v>20</v>
      </c>
      <c r="F7" t="s">
        <v>283</v>
      </c>
      <c r="G7" t="s">
        <v>21</v>
      </c>
      <c r="H7">
        <v>165</v>
      </c>
      <c r="I7" t="s">
        <v>22</v>
      </c>
      <c r="J7" t="s">
        <v>154</v>
      </c>
      <c r="K7" s="4" t="s">
        <v>240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179</v>
      </c>
      <c r="C8" t="s">
        <v>171</v>
      </c>
      <c r="D8">
        <v>1</v>
      </c>
      <c r="E8" t="s">
        <v>27</v>
      </c>
      <c r="F8" t="s">
        <v>283</v>
      </c>
      <c r="G8" t="s">
        <v>261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179</v>
      </c>
      <c r="C9" t="s">
        <v>171</v>
      </c>
      <c r="D9">
        <v>1</v>
      </c>
      <c r="E9" t="s">
        <v>198</v>
      </c>
      <c r="F9" t="s">
        <v>283</v>
      </c>
      <c r="G9" t="s">
        <v>314</v>
      </c>
      <c r="H9" s="6" t="s">
        <v>13</v>
      </c>
      <c r="I9" t="s">
        <v>199</v>
      </c>
      <c r="J9" s="6" t="s">
        <v>13</v>
      </c>
      <c r="K9" s="4" t="s">
        <v>241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President, New Homes, Broker','---','(416) 669-0325','---','alancheung@livingrealtykw.com','Staff');</v>
      </c>
    </row>
    <row r="10" spans="1:13" x14ac:dyDescent="0.3">
      <c r="A10" s="5">
        <v>9</v>
      </c>
      <c r="B10" t="s">
        <v>179</v>
      </c>
      <c r="C10" t="s">
        <v>171</v>
      </c>
      <c r="D10">
        <v>1</v>
      </c>
      <c r="E10" t="s">
        <v>64</v>
      </c>
      <c r="F10" t="s">
        <v>283</v>
      </c>
      <c r="G10" t="s">
        <v>285</v>
      </c>
      <c r="H10" s="6" t="s">
        <v>13</v>
      </c>
      <c r="I10" t="s">
        <v>65</v>
      </c>
      <c r="J10" s="6" t="s">
        <v>13</v>
      </c>
      <c r="K10" s="4" t="s">
        <v>254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179</v>
      </c>
      <c r="C11" t="s">
        <v>171</v>
      </c>
      <c r="D11">
        <v>1</v>
      </c>
      <c r="E11" t="s">
        <v>219</v>
      </c>
      <c r="F11" t="s">
        <v>283</v>
      </c>
      <c r="G11" t="s">
        <v>161</v>
      </c>
      <c r="H11">
        <v>509</v>
      </c>
      <c r="I11" t="s">
        <v>220</v>
      </c>
      <c r="J11" s="6" t="s">
        <v>13</v>
      </c>
      <c r="K11" s="4" t="s">
        <v>218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179</v>
      </c>
      <c r="C12" t="s">
        <v>171</v>
      </c>
      <c r="D12">
        <v>1</v>
      </c>
      <c r="E12" t="s">
        <v>186</v>
      </c>
      <c r="G12" t="s">
        <v>239</v>
      </c>
      <c r="H12">
        <v>504</v>
      </c>
      <c r="I12" t="s">
        <v>188</v>
      </c>
      <c r="J12" t="s">
        <v>30</v>
      </c>
      <c r="K12" s="4" t="s">
        <v>284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179</v>
      </c>
      <c r="C13" t="s">
        <v>171</v>
      </c>
      <c r="D13">
        <v>1</v>
      </c>
      <c r="E13" t="s">
        <v>31</v>
      </c>
      <c r="F13" t="s">
        <v>283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179</v>
      </c>
      <c r="C14" t="s">
        <v>171</v>
      </c>
      <c r="D14">
        <v>1</v>
      </c>
      <c r="E14" t="s">
        <v>302</v>
      </c>
      <c r="F14" t="s">
        <v>283</v>
      </c>
      <c r="G14" t="s">
        <v>303</v>
      </c>
      <c r="H14">
        <v>282</v>
      </c>
      <c r="I14" s="6" t="s">
        <v>13</v>
      </c>
      <c r="J14" s="6" t="s">
        <v>13</v>
      </c>
      <c r="K14" s="4" t="s">
        <v>304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('13','1','Joanna Xie','Agent Services Coordinator','282','---','---','joannaxie@livingrealtykw.com','Staff');</v>
      </c>
    </row>
    <row r="15" spans="1:13" x14ac:dyDescent="0.3">
      <c r="A15" s="5">
        <v>14</v>
      </c>
      <c r="B15" t="s">
        <v>179</v>
      </c>
      <c r="C15" t="s">
        <v>171</v>
      </c>
      <c r="D15">
        <v>1</v>
      </c>
      <c r="E15" t="s">
        <v>61</v>
      </c>
      <c r="F15" t="s">
        <v>283</v>
      </c>
      <c r="G15" t="s">
        <v>212</v>
      </c>
      <c r="H15">
        <v>123</v>
      </c>
      <c r="I15" s="6" t="s">
        <v>13</v>
      </c>
      <c r="J15" s="6" t="s">
        <v>13</v>
      </c>
      <c r="K15" s="4" t="s">
        <v>242</v>
      </c>
      <c r="L15" t="s">
        <v>160</v>
      </c>
      <c r="M15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6" spans="1:13" x14ac:dyDescent="0.3">
      <c r="A16" s="5">
        <v>15</v>
      </c>
      <c r="B16" t="s">
        <v>179</v>
      </c>
      <c r="C16" t="s">
        <v>171</v>
      </c>
      <c r="D16">
        <v>1</v>
      </c>
      <c r="E16" t="s">
        <v>23</v>
      </c>
      <c r="F16" t="s">
        <v>283</v>
      </c>
      <c r="G16" t="s">
        <v>225</v>
      </c>
      <c r="H16">
        <v>206</v>
      </c>
      <c r="I16" s="6" t="s">
        <v>13</v>
      </c>
      <c r="J16" s="6" t="s">
        <v>13</v>
      </c>
      <c r="K16" s="4" t="s">
        <v>262</v>
      </c>
      <c r="L16" t="s">
        <v>160</v>
      </c>
      <c r="M16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7" spans="1:13" x14ac:dyDescent="0.3">
      <c r="A17" s="5">
        <v>16</v>
      </c>
      <c r="B17" t="s">
        <v>179</v>
      </c>
      <c r="C17" t="s">
        <v>171</v>
      </c>
      <c r="D17">
        <v>1</v>
      </c>
      <c r="E17" t="s">
        <v>39</v>
      </c>
      <c r="F17" t="s">
        <v>283</v>
      </c>
      <c r="G17" t="s">
        <v>40</v>
      </c>
      <c r="H17">
        <v>507</v>
      </c>
      <c r="I17" s="6" t="s">
        <v>13</v>
      </c>
      <c r="J17" t="s">
        <v>41</v>
      </c>
      <c r="K17" s="4" t="s">
        <v>244</v>
      </c>
      <c r="L17" t="s">
        <v>160</v>
      </c>
      <c r="M17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8" spans="1:13" x14ac:dyDescent="0.3">
      <c r="A18" s="5">
        <v>17</v>
      </c>
      <c r="B18" t="s">
        <v>179</v>
      </c>
      <c r="C18" t="s">
        <v>171</v>
      </c>
      <c r="D18">
        <v>1</v>
      </c>
      <c r="E18" t="s">
        <v>42</v>
      </c>
      <c r="F18" t="s">
        <v>283</v>
      </c>
      <c r="G18" t="s">
        <v>37</v>
      </c>
      <c r="H18">
        <v>508</v>
      </c>
      <c r="I18" s="6" t="s">
        <v>13</v>
      </c>
      <c r="J18" t="s">
        <v>38</v>
      </c>
      <c r="K18" s="4" t="s">
        <v>245</v>
      </c>
      <c r="L18" t="s">
        <v>160</v>
      </c>
      <c r="M18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19" spans="1:13" x14ac:dyDescent="0.3">
      <c r="A19" s="5">
        <v>18</v>
      </c>
      <c r="B19" t="s">
        <v>179</v>
      </c>
      <c r="C19" t="s">
        <v>171</v>
      </c>
      <c r="D19">
        <v>1</v>
      </c>
      <c r="E19" t="s">
        <v>77</v>
      </c>
      <c r="F19" t="s">
        <v>283</v>
      </c>
      <c r="G19" t="s">
        <v>37</v>
      </c>
      <c r="H19">
        <v>255</v>
      </c>
      <c r="I19" s="6" t="s">
        <v>13</v>
      </c>
      <c r="J19" s="6" t="s">
        <v>13</v>
      </c>
      <c r="K19" s="4" t="s">
        <v>246</v>
      </c>
      <c r="L19" t="s">
        <v>160</v>
      </c>
      <c r="M19" t="str">
        <f t="shared" ref="M19" si="5">"INSERT INTO `directory` (`order`, `office`, `displayname`, `title`, `ext`, `personalTel`, `directTel`, `email`, `contacttype`)  VALUES ('" &amp; A19 &amp; "','" &amp; D19 &amp; "','" &amp; E19 &amp; "','" &amp; G19 &amp; "','" &amp; H19 &amp; "','" &amp; I19 &amp;  "','" &amp; J19 &amp;  "','" &amp; K19 &amp;  "','" &amp; L19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0" spans="1:13" x14ac:dyDescent="0.3">
      <c r="A20" s="5">
        <v>19</v>
      </c>
      <c r="B20" t="s">
        <v>179</v>
      </c>
      <c r="C20" t="s">
        <v>171</v>
      </c>
      <c r="D20">
        <v>1</v>
      </c>
      <c r="E20" t="s">
        <v>271</v>
      </c>
      <c r="F20" t="s">
        <v>283</v>
      </c>
      <c r="G20" t="s">
        <v>163</v>
      </c>
      <c r="H20">
        <v>506</v>
      </c>
      <c r="I20" s="6" t="s">
        <v>13</v>
      </c>
      <c r="J20" t="s">
        <v>36</v>
      </c>
      <c r="K20" s="4" t="s">
        <v>272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1" spans="1:13" x14ac:dyDescent="0.3">
      <c r="A21" s="5">
        <v>20</v>
      </c>
      <c r="B21" t="s">
        <v>179</v>
      </c>
      <c r="C21" t="s">
        <v>171</v>
      </c>
      <c r="D21">
        <v>1</v>
      </c>
      <c r="E21" t="s">
        <v>43</v>
      </c>
      <c r="F21" t="s">
        <v>283</v>
      </c>
      <c r="G21" t="s">
        <v>44</v>
      </c>
      <c r="H21">
        <v>519</v>
      </c>
      <c r="I21" s="6" t="s">
        <v>13</v>
      </c>
      <c r="J21" t="s">
        <v>45</v>
      </c>
      <c r="K21" s="4" t="s">
        <v>247</v>
      </c>
      <c r="L21" t="s">
        <v>160</v>
      </c>
      <c r="M21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2" spans="1:13" x14ac:dyDescent="0.3">
      <c r="A22" s="5">
        <v>21</v>
      </c>
      <c r="B22" t="s">
        <v>179</v>
      </c>
      <c r="C22" t="s">
        <v>171</v>
      </c>
      <c r="D22">
        <v>1</v>
      </c>
      <c r="E22" t="s">
        <v>202</v>
      </c>
      <c r="F22" t="s">
        <v>283</v>
      </c>
      <c r="G22" t="s">
        <v>203</v>
      </c>
      <c r="H22">
        <v>121</v>
      </c>
      <c r="I22" s="6" t="s">
        <v>13</v>
      </c>
      <c r="J22" s="6" t="s">
        <v>13</v>
      </c>
      <c r="K22" s="4" t="s">
        <v>248</v>
      </c>
      <c r="L22" t="s">
        <v>160</v>
      </c>
      <c r="M22" t="str">
        <f t="shared" ref="M22" si="7">"INSERT INTO `directory` (`order`, `office`, `displayname`, `title`, `ext`, `personalTel`, `directTel`, `email`, `contacttype`)  VALUES ('" &amp; A22 &amp; "','" &amp; D22 &amp; "','" &amp; E22 &amp; "','" &amp; G22 &amp; "','" &amp; H22 &amp; "','" &amp; I22 &amp;  "','" &amp; J22 &amp;  "','" &amp; K22 &amp;  "','" &amp; L22 &amp; "');"</f>
        <v>INSERT INTO `directory` (`order`, `office`, `displayname`, `title`, `ext`, `personalTel`, `directTel`, `email`, `contacttype`)  VALUES ('21','1','Kelly Wan','Digital Artist &amp; Content Creator ','121','---','---','kellywan@livingrealtykw.com','Staff');</v>
      </c>
    </row>
    <row r="23" spans="1:13" x14ac:dyDescent="0.3">
      <c r="A23" s="5">
        <v>22</v>
      </c>
      <c r="B23" t="s">
        <v>179</v>
      </c>
      <c r="C23" t="s">
        <v>171</v>
      </c>
      <c r="D23">
        <v>1</v>
      </c>
      <c r="E23" t="s">
        <v>46</v>
      </c>
      <c r="F23" t="s">
        <v>283</v>
      </c>
      <c r="G23" t="s">
        <v>313</v>
      </c>
      <c r="H23">
        <v>522</v>
      </c>
      <c r="I23" t="s">
        <v>47</v>
      </c>
      <c r="J23" t="s">
        <v>48</v>
      </c>
      <c r="K23" s="4" t="s">
        <v>249</v>
      </c>
      <c r="L23" t="s">
        <v>160</v>
      </c>
      <c r="M23" t="str">
        <f t="shared" si="0"/>
        <v>INSERT INTO `directory` (`order`, `office`, `displayname`, `title`, `ext`, `personalTel`, `directTel`, `email`, `contacttype`)  VALUES ('22','1','Nelson Lau','Senior Technical Specialist &amp; System Architect','522','(647) 701-8828','(905) 752-3522','nelsonlau@livingrealtykw.com','Staff');</v>
      </c>
    </row>
    <row r="24" spans="1:13" x14ac:dyDescent="0.3">
      <c r="A24" s="5">
        <v>23</v>
      </c>
      <c r="B24" t="s">
        <v>179</v>
      </c>
      <c r="C24" t="s">
        <v>171</v>
      </c>
      <c r="D24">
        <v>1</v>
      </c>
      <c r="E24" t="s">
        <v>49</v>
      </c>
      <c r="G24" t="s">
        <v>50</v>
      </c>
      <c r="H24">
        <v>522</v>
      </c>
      <c r="I24" s="6" t="s">
        <v>13</v>
      </c>
      <c r="J24" t="s">
        <v>48</v>
      </c>
      <c r="K24" s="4" t="s">
        <v>250</v>
      </c>
      <c r="L24" t="s">
        <v>160</v>
      </c>
      <c r="M24" t="str">
        <f t="shared" si="0"/>
        <v>INSERT INTO `directory` (`order`, `office`, `displayname`, `title`, `ext`, `personalTel`, `directTel`, `email`, `contacttype`)  VALUES ('23','1','IT Support','Information Technology Technical Support','522','---','(905) 752-3522','itsupport@livingrealtykw.com','Staff');</v>
      </c>
    </row>
    <row r="25" spans="1:13" x14ac:dyDescent="0.3">
      <c r="A25" s="5">
        <v>24</v>
      </c>
      <c r="B25" t="s">
        <v>51</v>
      </c>
      <c r="C25" t="s">
        <v>172</v>
      </c>
      <c r="D25">
        <v>2</v>
      </c>
      <c r="E25" t="s">
        <v>52</v>
      </c>
      <c r="F25" t="s">
        <v>283</v>
      </c>
      <c r="G25" t="s">
        <v>53</v>
      </c>
      <c r="H25" s="6" t="s">
        <v>195</v>
      </c>
      <c r="I25" s="6" t="s">
        <v>195</v>
      </c>
      <c r="J25" t="s">
        <v>54</v>
      </c>
      <c r="K25" s="4" t="s">
        <v>251</v>
      </c>
      <c r="L25" t="s">
        <v>158</v>
      </c>
      <c r="M25" t="str">
        <f t="shared" si="0"/>
        <v>INSERT INTO `directory` (`order`, `office`, `displayname`, `title`, `ext`, `personalTel`, `directTel`, `email`, `contacttype`)  VALUES ('24','2','North Markham Office','735 Markland St, Unit 12&amp;13, Markham, ON, L6C 0G6','--','--','T: (905) 888-8188','northmarkham@livingrealtykw.com','Office Header');</v>
      </c>
    </row>
    <row r="26" spans="1:13" x14ac:dyDescent="0.3">
      <c r="A26" s="5">
        <v>25</v>
      </c>
      <c r="B26" t="s">
        <v>51</v>
      </c>
      <c r="C26" t="s">
        <v>172</v>
      </c>
      <c r="D26">
        <v>2</v>
      </c>
      <c r="E26" t="s">
        <v>55</v>
      </c>
      <c r="F26" t="s">
        <v>283</v>
      </c>
      <c r="G26" t="s">
        <v>56</v>
      </c>
      <c r="H26" s="6" t="s">
        <v>13</v>
      </c>
      <c r="I26" t="s">
        <v>57</v>
      </c>
      <c r="J26" s="6" t="s">
        <v>13</v>
      </c>
      <c r="K26" s="4" t="s">
        <v>252</v>
      </c>
      <c r="L26" t="s">
        <v>160</v>
      </c>
      <c r="M26" t="str">
        <f t="shared" si="0"/>
        <v>INSERT INTO `directory` (`order`, `office`, `displayname`, `title`, `ext`, `personalTel`, `directTel`, `email`, `contacttype`)  VALUES ('25','2','Chris Tam','Manager North Markham Branch','---','(416) 505-6625','---','christam@livingrealtykw.com','Staff');</v>
      </c>
    </row>
    <row r="27" spans="1:13" x14ac:dyDescent="0.3">
      <c r="A27" s="5">
        <v>26</v>
      </c>
      <c r="B27" t="s">
        <v>51</v>
      </c>
      <c r="C27" t="s">
        <v>172</v>
      </c>
      <c r="D27">
        <v>2</v>
      </c>
      <c r="E27" t="s">
        <v>59</v>
      </c>
      <c r="F27" t="s">
        <v>283</v>
      </c>
      <c r="G27" t="s">
        <v>164</v>
      </c>
      <c r="H27" s="6" t="s">
        <v>13</v>
      </c>
      <c r="I27" s="6" t="s">
        <v>13</v>
      </c>
      <c r="J27" t="s">
        <v>58</v>
      </c>
      <c r="K27" s="4" t="s">
        <v>253</v>
      </c>
      <c r="L27" t="s">
        <v>160</v>
      </c>
      <c r="M27" t="str">
        <f t="shared" si="0"/>
        <v>INSERT INTO `directory` (`order`, `office`, `displayname`, `title`, `ext`, `personalTel`, `directTel`, `email`, `contacttype`)  VALUES ('26','2','Grace Chui','Head Secretary','---','---','(905) 888-8188','gracemschui@livingrealtykw.com','Staff');</v>
      </c>
    </row>
    <row r="28" spans="1:13" x14ac:dyDescent="0.3">
      <c r="A28" s="5">
        <v>27</v>
      </c>
      <c r="B28" t="s">
        <v>51</v>
      </c>
      <c r="C28" t="s">
        <v>172</v>
      </c>
      <c r="D28">
        <v>2</v>
      </c>
      <c r="E28" t="s">
        <v>224</v>
      </c>
      <c r="F28" t="s">
        <v>283</v>
      </c>
      <c r="G28" t="s">
        <v>60</v>
      </c>
      <c r="H28" s="6" t="s">
        <v>13</v>
      </c>
      <c r="I28" s="6" t="s">
        <v>13</v>
      </c>
      <c r="J28" t="s">
        <v>58</v>
      </c>
      <c r="K28" s="4" t="s">
        <v>260</v>
      </c>
      <c r="L28" t="s">
        <v>160</v>
      </c>
      <c r="M28" t="str">
        <f t="shared" ref="M28" si="8">"INSERT INTO `directory` (`order`, `office`, `displayname`, `title`, `ext`, `personalTel`, `directTel`, `email`, `contacttype`)  VALUES ('" &amp; A28 &amp; "','" &amp; D28 &amp; "','" &amp; E28 &amp; "','" &amp; G28 &amp; "','" &amp; H28 &amp; "','" &amp; I28 &amp;  "','" &amp; J28 &amp;  "','" &amp; K28 &amp;  "','" &amp; L28 &amp; "');"</f>
        <v>INSERT INTO `directory` (`order`, `office`, `displayname`, `title`, `ext`, `personalTel`, `directTel`, `email`, `contacttype`)  VALUES ('27','2','Kiran Li','Secretary','---','---','(905) 888-8188','kiranli@livingrealtykw.com','Staff');</v>
      </c>
    </row>
    <row r="29" spans="1:13" x14ac:dyDescent="0.3">
      <c r="A29" s="5">
        <v>28</v>
      </c>
      <c r="B29" t="s">
        <v>67</v>
      </c>
      <c r="C29" t="s">
        <v>173</v>
      </c>
      <c r="D29">
        <v>4</v>
      </c>
      <c r="E29" t="s">
        <v>68</v>
      </c>
      <c r="F29" t="s">
        <v>283</v>
      </c>
      <c r="G29" t="s">
        <v>152</v>
      </c>
      <c r="H29" s="6" t="s">
        <v>195</v>
      </c>
      <c r="I29" s="6" t="s">
        <v>195</v>
      </c>
      <c r="J29" t="s">
        <v>69</v>
      </c>
      <c r="K29" s="4" t="s">
        <v>255</v>
      </c>
      <c r="L29" t="s">
        <v>158</v>
      </c>
      <c r="M29" t="str">
        <f t="shared" si="0"/>
        <v>INSERT INTO `directory` (`order`, `office`, `displayname`, `title`, `ext`, `personalTel`, `directTel`, `email`, `contacttype`)  VALUES ('28','4','Mississauga Office','1177 Central Parkway West, Golden Square, Unit 32, Mississauga, ON, L5C 4P3','--','--','T: (905) 896-0002','mississauga@livingrealtykw.com','Office Header');</v>
      </c>
    </row>
    <row r="30" spans="1:13" x14ac:dyDescent="0.3">
      <c r="A30" s="5">
        <v>29</v>
      </c>
      <c r="B30" t="s">
        <v>67</v>
      </c>
      <c r="C30" t="s">
        <v>173</v>
      </c>
      <c r="D30">
        <v>4</v>
      </c>
      <c r="E30" t="s">
        <v>305</v>
      </c>
      <c r="F30" t="s">
        <v>283</v>
      </c>
      <c r="G30" t="s">
        <v>70</v>
      </c>
      <c r="H30" s="6" t="s">
        <v>13</v>
      </c>
      <c r="I30" t="s">
        <v>71</v>
      </c>
      <c r="J30" s="6" t="s">
        <v>13</v>
      </c>
      <c r="K30" s="4" t="s">
        <v>306</v>
      </c>
      <c r="L30" t="s">
        <v>160</v>
      </c>
      <c r="M30" t="str">
        <f t="shared" si="0"/>
        <v>INSERT INTO `directory` (`order`, `office`, `displayname`, `title`, `ext`, `personalTel`, `directTel`, `email`, `contacttype`)  VALUES ('29','4','Cassandra Pacitto','Manager Mississauga Branch','---','(905) 896-0002','---','cassandrapacitto@livingrealtykw.com','Staff');</v>
      </c>
    </row>
    <row r="31" spans="1:13" x14ac:dyDescent="0.3">
      <c r="A31" s="5">
        <v>30</v>
      </c>
      <c r="B31" t="s">
        <v>67</v>
      </c>
      <c r="C31" t="s">
        <v>173</v>
      </c>
      <c r="D31">
        <v>4</v>
      </c>
      <c r="E31" t="s">
        <v>275</v>
      </c>
      <c r="F31" t="s">
        <v>283</v>
      </c>
      <c r="G31" t="s">
        <v>60</v>
      </c>
      <c r="H31" s="6" t="s">
        <v>13</v>
      </c>
      <c r="I31" s="6" t="s">
        <v>13</v>
      </c>
      <c r="J31" t="s">
        <v>71</v>
      </c>
      <c r="K31" s="4" t="s">
        <v>276</v>
      </c>
      <c r="L31" t="s">
        <v>160</v>
      </c>
      <c r="M31" t="str">
        <f t="shared" ref="M31:M60" si="9">"INSERT INTO `directory` (`order`, `office`, `displayname`, `title`, `ext`, `personalTel`, `directTel`, `email`, `contacttype`)  VALUES ('" &amp; A31 &amp; "','" &amp; D31 &amp; "','" &amp; E31 &amp; "','" &amp; G31 &amp; "','" &amp; H31 &amp; "','" &amp; I31 &amp;  "','" &amp; J31 &amp;  "','" &amp; K31 &amp;  "','" &amp; L31 &amp; "');"</f>
        <v>INSERT INTO `directory` (`order`, `office`, `displayname`, `title`, `ext`, `personalTel`, `directTel`, `email`, `contacttype`)  VALUES ('30','4','Katie Wong','Secretary','---','---','(905) 896-0002','katiewong@livingrealtykw.com','Staff');</v>
      </c>
    </row>
    <row r="32" spans="1:13" x14ac:dyDescent="0.3">
      <c r="A32" s="5">
        <v>31</v>
      </c>
      <c r="B32" t="s">
        <v>67</v>
      </c>
      <c r="C32" t="s">
        <v>173</v>
      </c>
      <c r="D32">
        <v>4</v>
      </c>
      <c r="E32" t="s">
        <v>307</v>
      </c>
      <c r="F32" t="s">
        <v>283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308</v>
      </c>
      <c r="L32" t="s">
        <v>160</v>
      </c>
      <c r="M32" t="str">
        <f t="shared" ref="M3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('31','4','Juliana Monize','Secretary','---','---','(905) 896-0002','julianamonize@livingrealtykw.com','Staff');</v>
      </c>
    </row>
    <row r="33" spans="1:13" x14ac:dyDescent="0.3">
      <c r="A33" s="5">
        <v>32</v>
      </c>
      <c r="B33" t="s">
        <v>72</v>
      </c>
      <c r="C33" t="s">
        <v>175</v>
      </c>
      <c r="D33">
        <v>5</v>
      </c>
      <c r="E33" t="s">
        <v>73</v>
      </c>
      <c r="F33" t="s">
        <v>283</v>
      </c>
      <c r="G33" t="s">
        <v>9</v>
      </c>
      <c r="H33" s="6" t="s">
        <v>195</v>
      </c>
      <c r="I33" s="6" t="s">
        <v>195</v>
      </c>
      <c r="J33" t="s">
        <v>74</v>
      </c>
      <c r="K33" s="4" t="s">
        <v>256</v>
      </c>
      <c r="L33" t="s">
        <v>158</v>
      </c>
      <c r="M33" t="str">
        <f t="shared" si="9"/>
        <v>INSERT INTO `directory` (`order`, `office`, `displayname`, `title`, `ext`, `personalTel`, `directTel`, `email`, `contacttype`)  VALUES ('32','5','Woodbine Office','8 Steelcase Road West, Markham, ON, L3R 1B2','--','--','T: (905) 474-0500','woodbine@livingrealtykw.com','Office Header');</v>
      </c>
    </row>
    <row r="34" spans="1:13" x14ac:dyDescent="0.3">
      <c r="A34" s="5">
        <v>33</v>
      </c>
      <c r="B34" t="s">
        <v>72</v>
      </c>
      <c r="C34" t="s">
        <v>175</v>
      </c>
      <c r="D34">
        <v>5</v>
      </c>
      <c r="E34" t="s">
        <v>76</v>
      </c>
      <c r="F34" t="s">
        <v>283</v>
      </c>
      <c r="G34" t="s">
        <v>75</v>
      </c>
      <c r="H34">
        <v>176</v>
      </c>
      <c r="I34" t="s">
        <v>174</v>
      </c>
      <c r="J34" s="6" t="s">
        <v>13</v>
      </c>
      <c r="K34" s="4" t="s">
        <v>257</v>
      </c>
      <c r="L34" t="s">
        <v>160</v>
      </c>
      <c r="M34" t="str">
        <f t="shared" si="9"/>
        <v>INSERT INTO `directory` (`order`, `office`, `displayname`, `title`, `ext`, `personalTel`, `directTel`, `email`, `contacttype`)  VALUES ('33','5','Anita Huang','Manager Woobine Branch','176','(416) 523-1888','---','anitahuang@livingrealtykw.com','Staff');</v>
      </c>
    </row>
    <row r="35" spans="1:13" x14ac:dyDescent="0.3">
      <c r="A35" s="5">
        <v>34</v>
      </c>
      <c r="B35" t="s">
        <v>72</v>
      </c>
      <c r="C35" t="s">
        <v>175</v>
      </c>
      <c r="D35">
        <v>5</v>
      </c>
      <c r="E35" t="s">
        <v>79</v>
      </c>
      <c r="F35" t="s">
        <v>283</v>
      </c>
      <c r="G35" t="s">
        <v>60</v>
      </c>
      <c r="H35">
        <v>100</v>
      </c>
      <c r="I35" s="6" t="s">
        <v>13</v>
      </c>
      <c r="J35" t="s">
        <v>19</v>
      </c>
      <c r="K35" s="4" t="s">
        <v>259</v>
      </c>
      <c r="L35" t="s">
        <v>160</v>
      </c>
      <c r="M35" t="str">
        <f t="shared" si="9"/>
        <v>INSERT INTO `directory` (`order`, `office`, `displayname`, `title`, `ext`, `personalTel`, `directTel`, `email`, `contacttype`)  VALUES ('34','5','Savanna Joo','Secretary','100','---','(905) 474-0500','savannajoo@livingrealtykw.com','Staff');</v>
      </c>
    </row>
    <row r="36" spans="1:13" x14ac:dyDescent="0.3">
      <c r="A36" s="5">
        <v>35</v>
      </c>
      <c r="B36" t="s">
        <v>62</v>
      </c>
      <c r="C36" t="s">
        <v>229</v>
      </c>
      <c r="D36">
        <v>3</v>
      </c>
      <c r="E36" t="s">
        <v>228</v>
      </c>
      <c r="F36" t="s">
        <v>283</v>
      </c>
      <c r="G36" t="s">
        <v>221</v>
      </c>
      <c r="H36" s="6" t="s">
        <v>195</v>
      </c>
      <c r="I36" s="6" t="s">
        <v>195</v>
      </c>
      <c r="J36" t="s">
        <v>63</v>
      </c>
      <c r="K36" s="4" t="s">
        <v>263</v>
      </c>
      <c r="L36" t="s">
        <v>158</v>
      </c>
      <c r="M36" t="str">
        <f t="shared" si="9"/>
        <v>INSERT INTO `directory` (`order`, `office`, `displayname`, `title`, `ext`, `personalTel`, `directTel`, `email`, `contacttype`)  VALUES ('35','3','Yonge &amp; Eglinton Office','2301 Yonge Street, Toronto, ON, M4P 2C6','--','--','T: (416) 223-8833','ye@livingrealtykw.com','Office Header');</v>
      </c>
    </row>
    <row r="37" spans="1:13" x14ac:dyDescent="0.3">
      <c r="A37" s="5">
        <v>36</v>
      </c>
      <c r="B37" t="s">
        <v>62</v>
      </c>
      <c r="C37" t="s">
        <v>229</v>
      </c>
      <c r="D37">
        <v>3</v>
      </c>
      <c r="E37" t="s">
        <v>309</v>
      </c>
      <c r="F37" t="s">
        <v>283</v>
      </c>
      <c r="G37" t="s">
        <v>286</v>
      </c>
      <c r="H37" s="6" t="s">
        <v>13</v>
      </c>
      <c r="I37" t="s">
        <v>287</v>
      </c>
      <c r="J37" s="6" t="s">
        <v>13</v>
      </c>
      <c r="K37" s="4" t="s">
        <v>310</v>
      </c>
      <c r="L37" t="s">
        <v>160</v>
      </c>
      <c r="M37" t="str">
        <f t="shared" si="9"/>
        <v>INSERT INTO `directory` (`order`, `office`, `displayname`, `title`, `ext`, `personalTel`, `directTel`, `email`, `contacttype`)  VALUES ('36','3','Francesco Armogida','Manager Yonge &amp; Eglinton','---','(416) 576-6312','---','francescoarmogida@livingrealtykw.com','Staff');</v>
      </c>
    </row>
    <row r="38" spans="1:13" x14ac:dyDescent="0.3">
      <c r="A38" s="5">
        <v>37</v>
      </c>
      <c r="B38" t="s">
        <v>62</v>
      </c>
      <c r="C38" t="s">
        <v>229</v>
      </c>
      <c r="D38">
        <v>3</v>
      </c>
      <c r="E38" t="s">
        <v>230</v>
      </c>
      <c r="F38" t="s">
        <v>283</v>
      </c>
      <c r="G38" t="s">
        <v>60</v>
      </c>
      <c r="H38" s="6" t="s">
        <v>13</v>
      </c>
      <c r="I38" s="6" t="s">
        <v>13</v>
      </c>
      <c r="J38" t="s">
        <v>66</v>
      </c>
      <c r="K38" s="4" t="s">
        <v>258</v>
      </c>
      <c r="L38" t="s">
        <v>160</v>
      </c>
      <c r="M38" t="str">
        <f t="shared" si="9"/>
        <v>INSERT INTO `directory` (`order`, `office`, `displayname`, `title`, `ext`, `personalTel`, `directTel`, `email`, `contacttype`)  VALUES ('37','3','Lydia Ng','Secretary','---','---','(416) 223-8833','lydiang@livingrealtykw.com','Staff');</v>
      </c>
    </row>
    <row r="39" spans="1:13" x14ac:dyDescent="0.3">
      <c r="A39" s="5">
        <v>38</v>
      </c>
      <c r="B39" t="s">
        <v>177</v>
      </c>
      <c r="C39" t="s">
        <v>177</v>
      </c>
      <c r="D39">
        <v>7</v>
      </c>
      <c r="E39" t="s">
        <v>81</v>
      </c>
      <c r="G39" t="s">
        <v>82</v>
      </c>
      <c r="H39" s="6" t="s">
        <v>195</v>
      </c>
      <c r="I39" s="6" t="s">
        <v>195</v>
      </c>
      <c r="J39" t="s">
        <v>83</v>
      </c>
      <c r="K39" s="6" t="s">
        <v>195</v>
      </c>
      <c r="L39" t="s">
        <v>158</v>
      </c>
      <c r="M39" t="str">
        <f t="shared" si="9"/>
        <v>INSERT INTO `directory` (`order`, `office`, `displayname`, `title`, `ext`, `personalTel`, `directTel`, `email`, `contacttype`)  VALUES ('38','7','I.C.&amp;I. Office','8 Steelcase Road West, Unit C, Markham, ON, L3R 1B2','--','--','T: (905) 474-1772','--','Office Header');</v>
      </c>
    </row>
    <row r="40" spans="1:13" x14ac:dyDescent="0.3">
      <c r="A40" s="5">
        <v>39</v>
      </c>
      <c r="B40" t="s">
        <v>177</v>
      </c>
      <c r="C40" t="s">
        <v>177</v>
      </c>
      <c r="D40">
        <v>7</v>
      </c>
      <c r="E40" t="s">
        <v>17</v>
      </c>
      <c r="F40" t="s">
        <v>283</v>
      </c>
      <c r="G40" t="s">
        <v>84</v>
      </c>
      <c r="H40">
        <v>228</v>
      </c>
      <c r="I40" t="s">
        <v>18</v>
      </c>
      <c r="J40" s="6" t="s">
        <v>13</v>
      </c>
      <c r="K40" s="4" t="s">
        <v>236</v>
      </c>
      <c r="L40" t="s">
        <v>160</v>
      </c>
      <c r="M40" t="str">
        <f t="shared" si="9"/>
        <v>INSERT INTO `directory` (`order`, `office`, `displayname`, `title`, `ext`, `personalTel`, `directTel`, `email`, `contacttype`)  VALUES ('39','7','Kelvin Wong','Manager I.C.&amp;I. Branch','228','(416) 567-7882','---','kelvin@livingrealtykw.com','Staff');</v>
      </c>
    </row>
    <row r="41" spans="1:13" x14ac:dyDescent="0.3">
      <c r="A41" s="5">
        <v>40</v>
      </c>
      <c r="B41" t="s">
        <v>180</v>
      </c>
      <c r="C41" t="s">
        <v>178</v>
      </c>
      <c r="D41">
        <v>8</v>
      </c>
      <c r="E41" t="s">
        <v>86</v>
      </c>
      <c r="G41" t="s">
        <v>9</v>
      </c>
      <c r="H41" s="6" t="s">
        <v>195</v>
      </c>
      <c r="I41" s="6" t="s">
        <v>195</v>
      </c>
      <c r="J41" t="s">
        <v>87</v>
      </c>
      <c r="K41" s="6" t="s">
        <v>195</v>
      </c>
      <c r="L41" t="s">
        <v>158</v>
      </c>
      <c r="M41" t="str">
        <f t="shared" si="9"/>
        <v>INSERT INTO `directory` (`order`, `office`, `displayname`, `title`, `ext`, `personalTel`, `directTel`, `email`, `contacttype`)  VALUES ('40','8','LPI Head Office','8 Steelcase Road West, Markham, ON, L3R 1B2','--','--','T: (905) 477-2090','--','Office Header');</v>
      </c>
    </row>
    <row r="42" spans="1:13" x14ac:dyDescent="0.3">
      <c r="A42" s="5">
        <v>41</v>
      </c>
      <c r="B42" t="s">
        <v>180</v>
      </c>
      <c r="C42" t="s">
        <v>178</v>
      </c>
      <c r="D42">
        <v>8</v>
      </c>
      <c r="E42" t="s">
        <v>208</v>
      </c>
      <c r="G42" t="s">
        <v>15</v>
      </c>
      <c r="H42">
        <v>521</v>
      </c>
      <c r="I42" t="s">
        <v>24</v>
      </c>
      <c r="J42" t="s">
        <v>25</v>
      </c>
      <c r="K42" t="s">
        <v>26</v>
      </c>
      <c r="L42" t="s">
        <v>160</v>
      </c>
      <c r="M42" t="str">
        <f t="shared" si="9"/>
        <v>INSERT INTO `directory` (`order`, `office`, `displayname`, `title`, `ext`, `personalTel`, `directTel`, `email`, `contacttype`)  VALUES ('41','8','Ben Wong','President','521','(416) 399-2311','(905) 752-3521','benw@livingproperties.com','Staff');</v>
      </c>
    </row>
    <row r="43" spans="1:13" x14ac:dyDescent="0.3">
      <c r="A43" s="5">
        <v>42</v>
      </c>
      <c r="B43" t="s">
        <v>180</v>
      </c>
      <c r="C43" t="s">
        <v>178</v>
      </c>
      <c r="D43">
        <v>8</v>
      </c>
      <c r="E43" t="s">
        <v>31</v>
      </c>
      <c r="G43" t="s">
        <v>88</v>
      </c>
      <c r="H43">
        <v>514</v>
      </c>
      <c r="I43" t="s">
        <v>89</v>
      </c>
      <c r="J43" t="s">
        <v>33</v>
      </c>
      <c r="K43" t="s">
        <v>34</v>
      </c>
      <c r="L43" t="s">
        <v>160</v>
      </c>
      <c r="M43" t="str">
        <f t="shared" si="9"/>
        <v>INSERT INTO `directory` (`order`, `office`, `displayname`, `title`, `ext`, `personalTel`, `directTel`, `email`, `contacttype`)  VALUES ('42','8','Winnie Tsui','Director of Operations','514','(647) 286-0145','(905) 752-3514 ','winniet@livingproperties.com','Staff');</v>
      </c>
    </row>
    <row r="44" spans="1:13" x14ac:dyDescent="0.3">
      <c r="A44" s="5">
        <v>43</v>
      </c>
      <c r="B44" t="s">
        <v>180</v>
      </c>
      <c r="C44" t="s">
        <v>178</v>
      </c>
      <c r="D44">
        <v>8</v>
      </c>
      <c r="E44" t="s">
        <v>100</v>
      </c>
      <c r="G44" t="s">
        <v>200</v>
      </c>
      <c r="H44">
        <v>286</v>
      </c>
      <c r="I44" t="s">
        <v>101</v>
      </c>
      <c r="J44" s="6" t="s">
        <v>193</v>
      </c>
      <c r="K44" s="4" t="s">
        <v>102</v>
      </c>
      <c r="L44" t="s">
        <v>160</v>
      </c>
      <c r="M44" t="str">
        <f t="shared" si="9"/>
        <v>INSERT INTO `directory` (`order`, `office`, `displayname`, `title`, `ext`, `personalTel`, `directTel`, `email`, `contacttype`)  VALUES ('43','8','Frederick Tang','Director of Business Development','286','(416) 618-5898','-','fredt@livingproperties.com','Staff');</v>
      </c>
    </row>
    <row r="45" spans="1:13" x14ac:dyDescent="0.3">
      <c r="A45" s="5">
        <v>44</v>
      </c>
      <c r="B45" t="s">
        <v>180</v>
      </c>
      <c r="C45" t="s">
        <v>178</v>
      </c>
      <c r="D45">
        <v>8</v>
      </c>
      <c r="E45" t="s">
        <v>90</v>
      </c>
      <c r="G45" t="s">
        <v>91</v>
      </c>
      <c r="H45">
        <v>512</v>
      </c>
      <c r="I45" t="s">
        <v>92</v>
      </c>
      <c r="J45" t="s">
        <v>93</v>
      </c>
      <c r="K45" t="s">
        <v>94</v>
      </c>
      <c r="L45" t="s">
        <v>160</v>
      </c>
      <c r="M45" t="str">
        <f t="shared" si="9"/>
        <v>INSERT INTO `directory` (`order`, `office`, `displayname`, `title`, `ext`, `personalTel`, `directTel`, `email`, `contacttype`)  VALUES ('44','8','Stanley Chow','Property Manager','512','(416) 277-6098','(905) 752-3512','stanleyc@livingproperties.com','Staff');</v>
      </c>
    </row>
    <row r="46" spans="1:13" x14ac:dyDescent="0.3">
      <c r="A46" s="5">
        <v>45</v>
      </c>
      <c r="B46" t="s">
        <v>180</v>
      </c>
      <c r="C46" t="s">
        <v>178</v>
      </c>
      <c r="D46">
        <v>8</v>
      </c>
      <c r="E46" t="s">
        <v>96</v>
      </c>
      <c r="G46" t="s">
        <v>91</v>
      </c>
      <c r="H46">
        <v>284</v>
      </c>
      <c r="I46" t="s">
        <v>97</v>
      </c>
      <c r="J46" t="s">
        <v>98</v>
      </c>
      <c r="K46" t="s">
        <v>99</v>
      </c>
      <c r="L46" t="s">
        <v>160</v>
      </c>
      <c r="M46" t="str">
        <f t="shared" si="9"/>
        <v>INSERT INTO `directory` (`order`, `office`, `displayname`, `title`, `ext`, `personalTel`, `directTel`, `email`, `contacttype`)  VALUES ('45','8','Richard Baksh','Property Manager','284','(647) 967-0088','(905) 258-0632','richardb@livingproperties.com','Staff');</v>
      </c>
    </row>
    <row r="47" spans="1:13" x14ac:dyDescent="0.3">
      <c r="A47" s="5">
        <v>46</v>
      </c>
      <c r="B47" t="s">
        <v>153</v>
      </c>
      <c r="C47" t="s">
        <v>184</v>
      </c>
      <c r="D47">
        <v>8</v>
      </c>
      <c r="E47" t="s">
        <v>206</v>
      </c>
      <c r="G47" t="s">
        <v>91</v>
      </c>
      <c r="H47" s="6">
        <v>517</v>
      </c>
      <c r="I47" s="6" t="s">
        <v>211</v>
      </c>
      <c r="J47" t="s">
        <v>95</v>
      </c>
      <c r="K47" s="4" t="s">
        <v>207</v>
      </c>
      <c r="L47" t="s">
        <v>160</v>
      </c>
      <c r="M47" t="str">
        <f>"INSERT INTO `directory` (`order`, `office`, `displayname`, `title`, `ext`, `personalTel`, `directTel`, `email`, `contacttype`)  VALUES ('" &amp; A47 &amp; "','" &amp; D47 &amp; "','" &amp; E47 &amp; "','" &amp; G47 &amp; "','" &amp; H47 &amp; "','" &amp; I47 &amp;  "','" &amp; J47 &amp;  "','" &amp; K47 &amp;  "','" &amp; L47 &amp; "');"</f>
        <v>INSERT INTO `directory` (`order`, `office`, `displayname`, `title`, `ext`, `personalTel`, `directTel`, `email`, `contacttype`)  VALUES ('46','8','Ken Kam','Property Manager','517','(647) 204-4455','(905) 477-2090','kenk@livingproperties.com','Staff');</v>
      </c>
    </row>
    <row r="48" spans="1:13" x14ac:dyDescent="0.3">
      <c r="A48" s="5">
        <v>47</v>
      </c>
      <c r="B48" t="s">
        <v>153</v>
      </c>
      <c r="C48" t="s">
        <v>184</v>
      </c>
      <c r="D48">
        <v>8</v>
      </c>
      <c r="E48" t="s">
        <v>279</v>
      </c>
      <c r="G48" t="s">
        <v>91</v>
      </c>
      <c r="H48" s="6">
        <v>520</v>
      </c>
      <c r="I48" s="6" t="s">
        <v>281</v>
      </c>
      <c r="J48" t="s">
        <v>95</v>
      </c>
      <c r="K48" s="4" t="s">
        <v>280</v>
      </c>
      <c r="L48" t="s">
        <v>160</v>
      </c>
      <c r="M48" t="str">
        <f>"INSERT INTO `directory` (`order`, `office`, `displayname`, `title`, `ext`, `personalTel`, `directTel`, `email`, `contacttype`)  VALUES ('" &amp; A48 &amp; "','" &amp; D48 &amp; "','" &amp; E48 &amp; "','" &amp; G48 &amp; "','" &amp; H48 &amp; "','" &amp; I48 &amp;  "','" &amp; J48 &amp;  "','" &amp; K48 &amp;  "','" &amp; L48 &amp; "');"</f>
        <v>INSERT INTO `directory` (`order`, `office`, `displayname`, `title`, `ext`, `personalTel`, `directTel`, `email`, `contacttype`)  VALUES ('47','8','Raymond Chin','Property Manager','520','(437) 331-6038','(905) 477-2090','raymondc@livingproperties.com','Staff');</v>
      </c>
    </row>
    <row r="49" spans="1:13" x14ac:dyDescent="0.3">
      <c r="A49" s="5">
        <v>48</v>
      </c>
      <c r="B49" t="s">
        <v>180</v>
      </c>
      <c r="C49" t="s">
        <v>178</v>
      </c>
      <c r="D49">
        <v>8</v>
      </c>
      <c r="E49" t="s">
        <v>288</v>
      </c>
      <c r="G49" t="s">
        <v>91</v>
      </c>
      <c r="H49">
        <v>168</v>
      </c>
      <c r="I49" s="6" t="s">
        <v>290</v>
      </c>
      <c r="J49" t="s">
        <v>95</v>
      </c>
      <c r="K49" s="4" t="s">
        <v>289</v>
      </c>
      <c r="L49" t="s">
        <v>160</v>
      </c>
      <c r="M49" t="str">
        <f t="shared" ref="M49" si="11"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('48','8','Thomas Lee','Property Manager','168','(416) 567-4274','(905) 477-2090','Thomasl@livingproperties.com','Staff');</v>
      </c>
    </row>
    <row r="50" spans="1:13" x14ac:dyDescent="0.3">
      <c r="A50" s="5">
        <v>49</v>
      </c>
      <c r="B50" t="s">
        <v>180</v>
      </c>
      <c r="C50" t="s">
        <v>178</v>
      </c>
      <c r="D50">
        <v>8</v>
      </c>
      <c r="E50" t="s">
        <v>315</v>
      </c>
      <c r="G50" t="s">
        <v>91</v>
      </c>
      <c r="H50">
        <v>168</v>
      </c>
      <c r="I50" s="6" t="s">
        <v>13</v>
      </c>
      <c r="J50" t="s">
        <v>95</v>
      </c>
      <c r="K50" s="4" t="s">
        <v>316</v>
      </c>
      <c r="L50" t="s">
        <v>160</v>
      </c>
      <c r="M50" t="str">
        <f t="shared" ref="M50" si="12"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('49','8','Stanley Wu','Property Manager','168','---','(905) 477-2090','stanleyw@livingproperties.com','Staff');</v>
      </c>
    </row>
    <row r="51" spans="1:13" x14ac:dyDescent="0.3">
      <c r="A51" s="5">
        <v>50</v>
      </c>
      <c r="B51" t="s">
        <v>180</v>
      </c>
      <c r="C51" t="s">
        <v>178</v>
      </c>
      <c r="D51">
        <v>8</v>
      </c>
      <c r="E51" t="s">
        <v>110</v>
      </c>
      <c r="G51" t="s">
        <v>35</v>
      </c>
      <c r="H51">
        <v>210</v>
      </c>
      <c r="I51" s="6" t="s">
        <v>13</v>
      </c>
      <c r="J51" s="6" t="s">
        <v>13</v>
      </c>
      <c r="K51" t="s">
        <v>111</v>
      </c>
      <c r="L51" t="s">
        <v>160</v>
      </c>
      <c r="M51" t="str">
        <f t="shared" si="9"/>
        <v>INSERT INTO `directory` (`order`, `office`, `displayname`, `title`, `ext`, `personalTel`, `directTel`, `email`, `contacttype`)  VALUES ('50','8','Loretta Leung','Executive Assistant','210','---','---','lorettal@livingproperties.com','Staff');</v>
      </c>
    </row>
    <row r="52" spans="1:13" x14ac:dyDescent="0.3">
      <c r="A52" s="5">
        <v>51</v>
      </c>
      <c r="B52" t="s">
        <v>180</v>
      </c>
      <c r="C52" t="s">
        <v>178</v>
      </c>
      <c r="D52">
        <v>8</v>
      </c>
      <c r="E52" t="s">
        <v>103</v>
      </c>
      <c r="G52" t="s">
        <v>274</v>
      </c>
      <c r="H52">
        <v>518</v>
      </c>
      <c r="I52" s="6" t="s">
        <v>13</v>
      </c>
      <c r="J52" t="s">
        <v>156</v>
      </c>
      <c r="K52" t="s">
        <v>104</v>
      </c>
      <c r="L52" t="s">
        <v>160</v>
      </c>
      <c r="M52" t="str">
        <f t="shared" ref="M52" si="13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('51','8','Simon Li','Senior Accountant','518','---','(905) 752-3518','simonl@livingproperties.com','Staff');</v>
      </c>
    </row>
    <row r="53" spans="1:13" x14ac:dyDescent="0.3">
      <c r="A53" s="5">
        <v>52</v>
      </c>
      <c r="B53" t="s">
        <v>180</v>
      </c>
      <c r="C53" t="s">
        <v>178</v>
      </c>
      <c r="D53">
        <v>8</v>
      </c>
      <c r="E53" t="s">
        <v>209</v>
      </c>
      <c r="G53" t="s">
        <v>181</v>
      </c>
      <c r="H53">
        <v>281</v>
      </c>
      <c r="I53" s="6" t="s">
        <v>13</v>
      </c>
      <c r="J53" s="6" t="s">
        <v>13</v>
      </c>
      <c r="K53" s="4" t="s">
        <v>210</v>
      </c>
      <c r="L53" t="s">
        <v>160</v>
      </c>
      <c r="M53" t="str">
        <f t="shared" ref="M53" si="14">"INSERT INTO `directory` (`order`, `office`, `displayname`, `title`, `ext`, `personalTel`, `directTel`, `email`, `contacttype`)  VALUES ('" &amp; A53 &amp; "','" &amp; D53 &amp; "','" &amp; E53 &amp; "','" &amp; G53 &amp; "','" &amp; H53 &amp; "','" &amp; I53 &amp;  "','" &amp; J53 &amp;  "','" &amp; K53 &amp;  "','" &amp; L53 &amp; "');"</f>
        <v>INSERT INTO `directory` (`order`, `office`, `displayname`, `title`, `ext`, `personalTel`, `directTel`, `email`, `contacttype`)  VALUES ('52','8','Nicole Leung','Property Accountant','281','---','---','nicolel@livingproperties.com','Staff');</v>
      </c>
    </row>
    <row r="54" spans="1:13" x14ac:dyDescent="0.3">
      <c r="A54" s="5">
        <v>53</v>
      </c>
      <c r="B54" t="s">
        <v>180</v>
      </c>
      <c r="C54" t="s">
        <v>178</v>
      </c>
      <c r="D54">
        <v>8</v>
      </c>
      <c r="E54" t="s">
        <v>105</v>
      </c>
      <c r="G54" t="s">
        <v>108</v>
      </c>
      <c r="H54">
        <v>523</v>
      </c>
      <c r="I54" s="6" t="s">
        <v>13</v>
      </c>
      <c r="J54" t="s">
        <v>157</v>
      </c>
      <c r="K54" t="s">
        <v>107</v>
      </c>
      <c r="L54" t="s">
        <v>160</v>
      </c>
      <c r="M54" t="str">
        <f t="shared" si="9"/>
        <v>INSERT INTO `directory` (`order`, `office`, `displayname`, `title`, `ext`, `personalTel`, `directTel`, `email`, `contacttype`)  VALUES ('53','8','Vivian Lum','Accounts Receivable Clerk','523','---','(905) 752-3523','vivianl@livingproperties.com','Staff');</v>
      </c>
    </row>
    <row r="55" spans="1:13" x14ac:dyDescent="0.3">
      <c r="A55" s="5">
        <v>54</v>
      </c>
      <c r="B55" t="s">
        <v>180</v>
      </c>
      <c r="C55" t="s">
        <v>178</v>
      </c>
      <c r="D55">
        <v>8</v>
      </c>
      <c r="E55" t="s">
        <v>204</v>
      </c>
      <c r="G55" t="s">
        <v>273</v>
      </c>
      <c r="H55">
        <v>223</v>
      </c>
      <c r="I55" s="6" t="s">
        <v>13</v>
      </c>
      <c r="J55" s="6" t="s">
        <v>13</v>
      </c>
      <c r="K55" s="4" t="s">
        <v>205</v>
      </c>
      <c r="L55" t="s">
        <v>160</v>
      </c>
      <c r="M55" t="str">
        <f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('54','8','Jessica Lee','Accounting Clerk ','223','---','---','jessical@livingproperties.com','Staff');</v>
      </c>
    </row>
    <row r="56" spans="1:13" x14ac:dyDescent="0.3">
      <c r="A56" s="5">
        <v>55</v>
      </c>
      <c r="B56" t="s">
        <v>180</v>
      </c>
      <c r="C56" t="s">
        <v>178</v>
      </c>
      <c r="D56">
        <v>8</v>
      </c>
      <c r="E56" t="s">
        <v>233</v>
      </c>
      <c r="G56" t="s">
        <v>109</v>
      </c>
      <c r="H56">
        <v>172</v>
      </c>
      <c r="I56" s="6" t="s">
        <v>13</v>
      </c>
      <c r="J56" s="6" t="s">
        <v>13</v>
      </c>
      <c r="K56" s="4" t="s">
        <v>234</v>
      </c>
      <c r="L56" t="s">
        <v>160</v>
      </c>
      <c r="M56" t="str">
        <f t="shared" ref="M56" si="15">"INSERT INTO `directory` (`order`, `office`, `displayname`, `title`, `ext`, `personalTel`, `directTel`, `email`, `contacttype`)  VALUES ('" &amp; A56 &amp; "','" &amp; D56 &amp; "','" &amp; E56 &amp; "','" &amp; G56 &amp; "','" &amp; H56 &amp; "','" &amp; I56 &amp;  "','" &amp; J56 &amp;  "','" &amp; K56 &amp;  "','" &amp; L56 &amp; "');"</f>
        <v>INSERT INTO `directory` (`order`, `office`, `displayname`, `title`, `ext`, `personalTel`, `directTel`, `email`, `contacttype`)  VALUES ('55','8','Rebecca Lau','Administrative Assistant','172','---','---','rebeccal@livingproperties.com','Staff');</v>
      </c>
    </row>
    <row r="57" spans="1:13" x14ac:dyDescent="0.3">
      <c r="A57" s="5">
        <v>56</v>
      </c>
      <c r="B57" t="s">
        <v>180</v>
      </c>
      <c r="C57" t="s">
        <v>178</v>
      </c>
      <c r="D57">
        <v>8</v>
      </c>
      <c r="E57" t="s">
        <v>277</v>
      </c>
      <c r="G57" t="s">
        <v>109</v>
      </c>
      <c r="H57">
        <v>182</v>
      </c>
      <c r="I57" s="6" t="s">
        <v>13</v>
      </c>
      <c r="J57" s="6" t="s">
        <v>13</v>
      </c>
      <c r="K57" s="4" t="s">
        <v>278</v>
      </c>
      <c r="L57" t="s">
        <v>160</v>
      </c>
      <c r="M57" t="str">
        <f t="shared" ref="M57:M58" si="16"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('56','8','Kelvin Chan','Administrative Assistant','182','---','---','kelvinc@livingproperties.com','Staff');</v>
      </c>
    </row>
    <row r="58" spans="1:13" x14ac:dyDescent="0.3">
      <c r="A58" s="5">
        <v>57</v>
      </c>
      <c r="B58" t="s">
        <v>180</v>
      </c>
      <c r="C58" t="s">
        <v>178</v>
      </c>
      <c r="D58">
        <v>8</v>
      </c>
      <c r="E58" t="s">
        <v>155</v>
      </c>
      <c r="G58" t="s">
        <v>106</v>
      </c>
      <c r="H58">
        <v>229</v>
      </c>
      <c r="I58" s="6" t="s">
        <v>13</v>
      </c>
      <c r="J58" s="6" t="s">
        <v>13</v>
      </c>
      <c r="K58" t="s">
        <v>112</v>
      </c>
      <c r="L58" t="s">
        <v>160</v>
      </c>
      <c r="M58" t="str">
        <f t="shared" si="16"/>
        <v>INSERT INTO `directory` (`order`, `office`, `displayname`, `title`, `ext`, `personalTel`, `directTel`, `email`, `contacttype`)  VALUES ('57','8','Matthew Wong','Accounting Clerk','229','---','---','mattheww@livingproperties.com','Staff');</v>
      </c>
    </row>
    <row r="59" spans="1:13" x14ac:dyDescent="0.3">
      <c r="A59" s="5">
        <v>58</v>
      </c>
      <c r="B59" t="s">
        <v>180</v>
      </c>
      <c r="C59" t="s">
        <v>178</v>
      </c>
      <c r="D59">
        <v>8</v>
      </c>
      <c r="E59" t="s">
        <v>311</v>
      </c>
      <c r="G59" t="s">
        <v>182</v>
      </c>
      <c r="H59" s="6" t="s">
        <v>13</v>
      </c>
      <c r="I59" s="6" t="s">
        <v>13</v>
      </c>
      <c r="J59" t="s">
        <v>95</v>
      </c>
      <c r="K59" s="4" t="s">
        <v>312</v>
      </c>
      <c r="L59" t="s">
        <v>160</v>
      </c>
      <c r="M59" t="str">
        <f t="shared" si="9"/>
        <v>INSERT INTO `directory` (`order`, `office`, `displayname`, `title`, `ext`, `personalTel`, `directTel`, `email`, `contacttype`)  VALUES ('58','8','Gus B','Handyman','---','---','(905) 477-2090','gusb@livcontruction.ca','Staff');</v>
      </c>
    </row>
    <row r="60" spans="1:13" x14ac:dyDescent="0.3">
      <c r="A60" s="5">
        <v>59</v>
      </c>
      <c r="B60" t="s">
        <v>113</v>
      </c>
      <c r="C60" t="s">
        <v>183</v>
      </c>
      <c r="D60">
        <v>9</v>
      </c>
      <c r="E60" t="s">
        <v>114</v>
      </c>
      <c r="G60" t="s">
        <v>115</v>
      </c>
      <c r="H60" s="6" t="s">
        <v>195</v>
      </c>
      <c r="I60" s="6" t="s">
        <v>195</v>
      </c>
      <c r="J60" t="s">
        <v>116</v>
      </c>
      <c r="K60" s="6" t="s">
        <v>195</v>
      </c>
      <c r="L60" t="s">
        <v>158</v>
      </c>
      <c r="M60" t="str">
        <f t="shared" si="9"/>
        <v>INSERT INTO `directory` (`order`, `office`, `displayname`, `title`, `ext`, `personalTel`, `directTel`, `email`, `contacttype`)  VALUES ('59','9','Centro Towers Office','25 Town Centre Crt, Scarborough, ON, M1P 0B4','--','--','T: (416) 290-1242','--','Office Header');</v>
      </c>
    </row>
    <row r="61" spans="1:13" x14ac:dyDescent="0.3">
      <c r="A61" s="5">
        <v>60</v>
      </c>
      <c r="B61" t="s">
        <v>113</v>
      </c>
      <c r="C61" t="s">
        <v>183</v>
      </c>
      <c r="D61">
        <v>9</v>
      </c>
      <c r="E61" t="s">
        <v>117</v>
      </c>
      <c r="G61" t="s">
        <v>91</v>
      </c>
      <c r="H61" s="6" t="s">
        <v>13</v>
      </c>
      <c r="I61" t="s">
        <v>118</v>
      </c>
      <c r="J61" t="s">
        <v>119</v>
      </c>
      <c r="K61" t="s">
        <v>120</v>
      </c>
      <c r="L61" t="s">
        <v>160</v>
      </c>
      <c r="M61" t="str">
        <f t="shared" ref="M61:M83" si="17">"INSERT INTO `directory` (`order`, `office`, `displayname`, `title`, `ext`, `personalTel`, `directTel`, `email`, `contacttype`)  VALUES ('" &amp; A61 &amp; "','" &amp; D61 &amp; "','" &amp; E61 &amp; "','" &amp; G61 &amp; "','" &amp; H61 &amp; "','" &amp; I61 &amp;  "','" &amp; J61 &amp;  "','" &amp; K61 &amp;  "','" &amp; L61 &amp; "');"</f>
        <v>INSERT INTO `directory` (`order`, `office`, `displayname`, `title`, `ext`, `personalTel`, `directTel`, `email`, `contacttype`)  VALUES ('60','9','Henry Fu','Property Manager','---','(416) 278-2953','(416) 290-1242','henry@centrotowers.com','Staff');</v>
      </c>
    </row>
    <row r="62" spans="1:13" x14ac:dyDescent="0.3">
      <c r="A62" s="5">
        <v>61</v>
      </c>
      <c r="B62" t="s">
        <v>113</v>
      </c>
      <c r="C62" t="s">
        <v>183</v>
      </c>
      <c r="D62">
        <v>9</v>
      </c>
      <c r="E62" t="s">
        <v>121</v>
      </c>
      <c r="G62" t="s">
        <v>122</v>
      </c>
      <c r="H62" s="6" t="s">
        <v>13</v>
      </c>
      <c r="I62" s="6" t="s">
        <v>13</v>
      </c>
      <c r="J62" t="s">
        <v>119</v>
      </c>
      <c r="K62" t="s">
        <v>123</v>
      </c>
      <c r="L62" t="s">
        <v>160</v>
      </c>
      <c r="M62" t="str">
        <f t="shared" si="17"/>
        <v>INSERT INTO `directory` (`order`, `office`, `displayname`, `title`, `ext`, `personalTel`, `directTel`, `email`, `contacttype`)  VALUES ('61','9','Sophia Yip','Property Administrator','---','---','(416) 290-1242','sophia@centrotowers.com','Staff');</v>
      </c>
    </row>
    <row r="63" spans="1:13" x14ac:dyDescent="0.3">
      <c r="A63" s="5">
        <v>62</v>
      </c>
      <c r="B63" t="s">
        <v>113</v>
      </c>
      <c r="C63" t="s">
        <v>183</v>
      </c>
      <c r="D63">
        <v>9</v>
      </c>
      <c r="E63" t="s">
        <v>291</v>
      </c>
      <c r="G63" t="s">
        <v>294</v>
      </c>
      <c r="H63" s="6" t="s">
        <v>13</v>
      </c>
      <c r="I63" s="6" t="s">
        <v>13</v>
      </c>
      <c r="J63" s="6" t="s">
        <v>295</v>
      </c>
      <c r="K63" s="6" t="s">
        <v>13</v>
      </c>
      <c r="M63" t="str">
        <f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('62','9','Security Desk ','Centro Security Desk ','---','---','(416) 296-0099','---','');</v>
      </c>
    </row>
    <row r="64" spans="1:13" x14ac:dyDescent="0.3">
      <c r="A64" s="5">
        <v>63</v>
      </c>
      <c r="B64" t="s">
        <v>138</v>
      </c>
      <c r="C64" t="s">
        <v>185</v>
      </c>
      <c r="D64">
        <v>11</v>
      </c>
      <c r="E64" t="s">
        <v>139</v>
      </c>
      <c r="G64" t="s">
        <v>140</v>
      </c>
      <c r="H64" s="6" t="s">
        <v>195</v>
      </c>
      <c r="I64" s="6" t="s">
        <v>195</v>
      </c>
      <c r="J64" t="s">
        <v>141</v>
      </c>
      <c r="K64" s="4" t="s">
        <v>222</v>
      </c>
      <c r="L64" t="s">
        <v>158</v>
      </c>
      <c r="M64" t="str">
        <f t="shared" si="17"/>
        <v>INSERT INTO `directory` (`order`, `office`, `displayname`, `title`, `ext`, `personalTel`, `directTel`, `email`, `contacttype`)  VALUES ('63','11','EQ1 Office','70 Town Centre Court, Scarborough, ON, M1P 0B2','--','--','T: (416) 279-0603 ','eq1@livingproperties.com','Office Header');</v>
      </c>
    </row>
    <row r="65" spans="1:13" x14ac:dyDescent="0.3">
      <c r="A65" s="5">
        <v>64</v>
      </c>
      <c r="B65" t="s">
        <v>138</v>
      </c>
      <c r="C65" t="s">
        <v>185</v>
      </c>
      <c r="D65">
        <v>11</v>
      </c>
      <c r="E65" t="s">
        <v>226</v>
      </c>
      <c r="G65" t="s">
        <v>91</v>
      </c>
      <c r="H65" s="6" t="s">
        <v>13</v>
      </c>
      <c r="I65" t="s">
        <v>223</v>
      </c>
      <c r="J65" t="s">
        <v>142</v>
      </c>
      <c r="K65" s="4" t="s">
        <v>235</v>
      </c>
      <c r="L65" t="s">
        <v>160</v>
      </c>
      <c r="M65" t="str">
        <f t="shared" si="17"/>
        <v>INSERT INTO `directory` (`order`, `office`, `displayname`, `title`, `ext`, `personalTel`, `directTel`, `email`, `contacttype`)  VALUES ('64','11','Ming Ip','Property Manager','---','(647) 286-0147','(416) 279-0603 ','eq1manager@livingproperties.com','Staff');</v>
      </c>
    </row>
    <row r="66" spans="1:13" x14ac:dyDescent="0.3">
      <c r="A66" s="5">
        <v>65</v>
      </c>
      <c r="B66" t="s">
        <v>138</v>
      </c>
      <c r="C66" t="s">
        <v>185</v>
      </c>
      <c r="D66">
        <v>11</v>
      </c>
      <c r="E66" t="s">
        <v>291</v>
      </c>
      <c r="G66" t="s">
        <v>300</v>
      </c>
      <c r="H66" s="6" t="s">
        <v>13</v>
      </c>
      <c r="I66" s="6" t="s">
        <v>13</v>
      </c>
      <c r="J66" s="13" t="s">
        <v>298</v>
      </c>
      <c r="K66" s="6" t="s">
        <v>13</v>
      </c>
      <c r="M66" t="str">
        <f>"INSERT INTO `directory` (`order`, `office`, `displayname`, `title`, `ext`, `personalTel`, `directTel`, `email`, `contacttype`)  VALUES ('" &amp; A66 &amp; "','" &amp; D66 &amp; "','" &amp; E66 &amp; "','" &amp; G66 &amp; "','" &amp; H66 &amp; "','" &amp; I66 &amp;  "','" &amp; J66 &amp;  "','" &amp; K66 &amp;  "','" &amp; L66 &amp; "');"</f>
        <v>INSERT INTO `directory` (`order`, `office`, `displayname`, `title`, `ext`, `personalTel`, `directTel`, `email`, `contacttype`)  VALUES ('65','11','Security Desk ','EQ1 Security Desk ','---','---','(416) 279-1894','---','');</v>
      </c>
    </row>
    <row r="67" spans="1:13" x14ac:dyDescent="0.3">
      <c r="A67" s="5">
        <v>66</v>
      </c>
      <c r="B67" t="s">
        <v>296</v>
      </c>
      <c r="C67" t="s">
        <v>297</v>
      </c>
      <c r="D67">
        <v>12</v>
      </c>
      <c r="E67" t="s">
        <v>264</v>
      </c>
      <c r="G67" t="s">
        <v>266</v>
      </c>
      <c r="H67" s="6" t="s">
        <v>195</v>
      </c>
      <c r="I67" s="6" t="s">
        <v>195</v>
      </c>
      <c r="J67" t="s">
        <v>267</v>
      </c>
      <c r="K67" s="6" t="s">
        <v>195</v>
      </c>
      <c r="L67" t="s">
        <v>158</v>
      </c>
      <c r="M67" t="str">
        <f t="shared" ref="M67:M68" si="18">"INSERT INTO `directory` (`order`, `office`, `displayname`, `title`, `ext`, `personalTel`, `directTel`, `email`, `contacttype`)  VALUES ('" &amp; A67 &amp; "','" &amp; D67 &amp; "','" &amp; E67 &amp; "','" &amp; G67 &amp; "','" &amp; H67 &amp; "','" &amp; I67 &amp;  "','" &amp; J67 &amp;  "','" &amp; K67 &amp;  "','" &amp; L67 &amp; "');"</f>
        <v>INSERT INTO `directory` (`order`, `office`, `displayname`, `title`, `ext`, `personalTel`, `directTel`, `email`, `contacttype`)  VALUES ('66','12','EQ2 Office','60 Town Centre Court, Scarborough, ON, M1P 0B1','--','--','T: (416) 279-0591 ','--','Office Header');</v>
      </c>
    </row>
    <row r="68" spans="1:13" x14ac:dyDescent="0.3">
      <c r="A68" s="5">
        <v>67</v>
      </c>
      <c r="B68" t="s">
        <v>296</v>
      </c>
      <c r="C68" t="s">
        <v>297</v>
      </c>
      <c r="D68">
        <v>12</v>
      </c>
      <c r="E68" t="s">
        <v>265</v>
      </c>
      <c r="G68" t="s">
        <v>91</v>
      </c>
      <c r="H68" s="6" t="s">
        <v>13</v>
      </c>
      <c r="I68" t="s">
        <v>269</v>
      </c>
      <c r="J68" t="s">
        <v>268</v>
      </c>
      <c r="K68" s="4" t="s">
        <v>270</v>
      </c>
      <c r="L68" t="s">
        <v>160</v>
      </c>
      <c r="M68" t="str">
        <f t="shared" si="18"/>
        <v>INSERT INTO `directory` (`order`, `office`, `displayname`, `title`, `ext`, `personalTel`, `directTel`, `email`, `contacttype`)  VALUES ('67','12','Aaron Ma','Property Manager','---','(416) 684-2236','(416) 279-0591','eq2manager@livingproperties.com','Staff');</v>
      </c>
    </row>
    <row r="69" spans="1:13" x14ac:dyDescent="0.3">
      <c r="A69" s="5">
        <v>68</v>
      </c>
      <c r="B69" t="s">
        <v>296</v>
      </c>
      <c r="C69" t="s">
        <v>297</v>
      </c>
      <c r="D69">
        <v>12</v>
      </c>
      <c r="E69" t="s">
        <v>291</v>
      </c>
      <c r="G69" t="s">
        <v>301</v>
      </c>
      <c r="H69" s="6" t="s">
        <v>13</v>
      </c>
      <c r="I69" s="6" t="s">
        <v>13</v>
      </c>
      <c r="J69" t="s">
        <v>299</v>
      </c>
      <c r="K69" s="6" t="s">
        <v>13</v>
      </c>
      <c r="M69" t="str">
        <f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('68','12','Security Desk ','EQ2 Security Desk ','---','---','(416) 279-1211','---','');</v>
      </c>
    </row>
    <row r="70" spans="1:13" x14ac:dyDescent="0.3">
      <c r="A70" s="5">
        <v>69</v>
      </c>
      <c r="B70" t="s">
        <v>213</v>
      </c>
      <c r="C70" t="s">
        <v>214</v>
      </c>
      <c r="D70">
        <v>13</v>
      </c>
      <c r="E70" t="s">
        <v>216</v>
      </c>
      <c r="G70" t="s">
        <v>217</v>
      </c>
      <c r="H70" s="6" t="s">
        <v>195</v>
      </c>
      <c r="I70" s="6" t="s">
        <v>195</v>
      </c>
      <c r="J70" s="6" t="s">
        <v>232</v>
      </c>
      <c r="K70" s="6" t="s">
        <v>195</v>
      </c>
      <c r="L70" t="s">
        <v>158</v>
      </c>
      <c r="M70" t="str">
        <f t="shared" si="17"/>
        <v>INSERT INTO `directory` (`order`, `office`, `displayname`, `title`, `ext`, `personalTel`, `directTel`, `email`, `contacttype`)  VALUES ('69','13','Alton Tower Office','160 Alton Towers Cir, Toronto, ON, M1V 4X8','--','--','T: (437)-533-1208','--','Office Header');</v>
      </c>
    </row>
    <row r="71" spans="1:13" x14ac:dyDescent="0.3">
      <c r="A71" s="5">
        <v>70</v>
      </c>
      <c r="B71" t="s">
        <v>213</v>
      </c>
      <c r="C71" t="s">
        <v>214</v>
      </c>
      <c r="D71">
        <v>13</v>
      </c>
      <c r="E71" t="s">
        <v>206</v>
      </c>
      <c r="G71" t="s">
        <v>91</v>
      </c>
      <c r="H71" s="6" t="s">
        <v>13</v>
      </c>
      <c r="I71" s="6" t="s">
        <v>211</v>
      </c>
      <c r="J71" t="s">
        <v>95</v>
      </c>
      <c r="K71" s="4" t="s">
        <v>207</v>
      </c>
      <c r="L71" t="s">
        <v>160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('70','13','Ken Kam','Property Manager','---','(647) 204-4455','(905) 477-2090','kenk@livingproperties.com','Staff');</v>
      </c>
    </row>
    <row r="72" spans="1:13" x14ac:dyDescent="0.3">
      <c r="A72" s="5">
        <v>71</v>
      </c>
      <c r="B72" t="s">
        <v>213</v>
      </c>
      <c r="C72" t="s">
        <v>214</v>
      </c>
      <c r="D72">
        <v>13</v>
      </c>
      <c r="E72" t="s">
        <v>231</v>
      </c>
      <c r="G72" t="s">
        <v>109</v>
      </c>
      <c r="H72" s="6" t="s">
        <v>13</v>
      </c>
      <c r="I72" s="6" t="s">
        <v>227</v>
      </c>
      <c r="J72" s="6" t="s">
        <v>13</v>
      </c>
      <c r="K72" s="4" t="s">
        <v>215</v>
      </c>
      <c r="L72" t="s">
        <v>160</v>
      </c>
      <c r="M72" t="str">
        <f>"INSERT INTO `directory` (`order`, `office`, `displayname`, `title`, `ext`, `personalTel`, `directTel`, `email`, `contacttype`)  VALUES ('" &amp; A72 &amp; "','" &amp; D72 &amp; "','" &amp; E72 &amp; "','" &amp; G72 &amp; "','" &amp; H72 &amp; "','" &amp; I72 &amp;  "','" &amp; J72 &amp;  "','" &amp; K72 &amp;  "','" &amp; L72 &amp; "');"</f>
        <v>INSERT INTO `directory` (`order`, `office`, `displayname`, `title`, `ext`, `personalTel`, `directTel`, `email`, `contacttype`)  VALUES ('71','13','Christie Ip','Administrative Assistant','---','(437)-533-1208','---','optima2@livingproperties.com ','Staff');</v>
      </c>
    </row>
    <row r="73" spans="1:13" x14ac:dyDescent="0.3">
      <c r="A73" s="5">
        <v>72</v>
      </c>
      <c r="B73" t="s">
        <v>213</v>
      </c>
      <c r="C73" t="s">
        <v>214</v>
      </c>
      <c r="D73">
        <v>13</v>
      </c>
      <c r="E73" t="s">
        <v>291</v>
      </c>
      <c r="G73" t="s">
        <v>292</v>
      </c>
      <c r="H73" s="6" t="s">
        <v>13</v>
      </c>
      <c r="I73" s="6" t="s">
        <v>13</v>
      </c>
      <c r="J73" s="6" t="s">
        <v>293</v>
      </c>
      <c r="K73" s="6" t="s">
        <v>13</v>
      </c>
      <c r="L73" t="s">
        <v>160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('72','13','Security Desk ','Alton Tower Security Desk ','---','---','(416) 754-3131','---','Staff');</v>
      </c>
    </row>
    <row r="74" spans="1:13" x14ac:dyDescent="0.3">
      <c r="A74" s="5">
        <v>73</v>
      </c>
      <c r="B74" t="s">
        <v>125</v>
      </c>
      <c r="C74" t="s">
        <v>125</v>
      </c>
      <c r="D74">
        <v>14</v>
      </c>
      <c r="E74" t="s">
        <v>126</v>
      </c>
      <c r="G74" t="s">
        <v>9</v>
      </c>
      <c r="H74" s="6" t="s">
        <v>195</v>
      </c>
      <c r="I74" s="6" t="s">
        <v>195</v>
      </c>
      <c r="J74" t="s">
        <v>127</v>
      </c>
      <c r="K74" t="s">
        <v>128</v>
      </c>
      <c r="L74" t="s">
        <v>158</v>
      </c>
      <c r="M74" t="str">
        <f t="shared" si="17"/>
        <v>INSERT INTO `directory` (`order`, `office`, `displayname`, `title`, `ext`, `personalTel`, `directTel`, `email`, `contacttype`)  VALUES ('73','14','IHMG Office','8 Steelcase Road West, Markham, ON, L3R 1B2','--','--','T: (905) 475-6000','info@ihmg.ca','Office Header');</v>
      </c>
    </row>
    <row r="75" spans="1:13" x14ac:dyDescent="0.3">
      <c r="A75" s="5">
        <v>74</v>
      </c>
      <c r="B75" t="s">
        <v>125</v>
      </c>
      <c r="C75" t="s">
        <v>125</v>
      </c>
      <c r="D75">
        <v>14</v>
      </c>
      <c r="E75" t="s">
        <v>129</v>
      </c>
      <c r="G75" t="s">
        <v>130</v>
      </c>
      <c r="H75" s="6" t="s">
        <v>195</v>
      </c>
      <c r="I75" s="6" t="s">
        <v>195</v>
      </c>
      <c r="J75" t="s">
        <v>131</v>
      </c>
      <c r="K75" s="4" t="s">
        <v>132</v>
      </c>
      <c r="L75" t="s">
        <v>158</v>
      </c>
      <c r="M75" t="str">
        <f t="shared" si="17"/>
        <v>INSERT INTO `directory` (`order`, `office`, `displayname`, `title`, `ext`, `personalTel`, `directTel`, `email`, `contacttype`)  VALUES ('74','14','IHMGRI Office','8 Steelcase Road West, Unit E, Markham, ON, L3R 1B2','--','--','T: (905) 489-8989','realestate@ihmg.ca','Office Header');</v>
      </c>
    </row>
    <row r="76" spans="1:13" x14ac:dyDescent="0.3">
      <c r="A76" s="5">
        <v>75</v>
      </c>
      <c r="B76" t="s">
        <v>125</v>
      </c>
      <c r="C76" t="s">
        <v>125</v>
      </c>
      <c r="D76">
        <v>14</v>
      </c>
      <c r="E76" t="s">
        <v>186</v>
      </c>
      <c r="G76" t="s">
        <v>187</v>
      </c>
      <c r="H76">
        <v>120</v>
      </c>
      <c r="I76" t="s">
        <v>188</v>
      </c>
      <c r="J76" t="s">
        <v>133</v>
      </c>
      <c r="K76" s="4" t="s">
        <v>189</v>
      </c>
      <c r="L76" t="s">
        <v>160</v>
      </c>
      <c r="M76" t="str">
        <f t="shared" si="17"/>
        <v>INSERT INTO `directory` (`order`, `office`, `displayname`, `title`, `ext`, `personalTel`, `directTel`, `email`, `contacttype`)  VALUES ('75','14','Eddie Tang','Financial Controller','120','(416) 723-8329','(905) 489-0186','eddie@ihmg.ca','Staff');</v>
      </c>
    </row>
    <row r="77" spans="1:13" x14ac:dyDescent="0.3">
      <c r="A77" s="5">
        <v>76</v>
      </c>
      <c r="B77" t="s">
        <v>125</v>
      </c>
      <c r="C77" t="s">
        <v>125</v>
      </c>
      <c r="D77">
        <v>14</v>
      </c>
      <c r="E77" t="s">
        <v>134</v>
      </c>
      <c r="G77" t="s">
        <v>190</v>
      </c>
      <c r="H77">
        <v>187</v>
      </c>
      <c r="I77" t="s">
        <v>135</v>
      </c>
      <c r="J77" s="6" t="s">
        <v>13</v>
      </c>
      <c r="K77" s="4" t="s">
        <v>136</v>
      </c>
      <c r="L77" t="s">
        <v>160</v>
      </c>
      <c r="M77" t="str">
        <f t="shared" si="17"/>
        <v>INSERT INTO `directory` (`order`, `office`, `displayname`, `title`, `ext`, `personalTel`, `directTel`, `email`, `contacttype`)  VALUES ('76','14','Lily Hou','Senior Accounting Analyst &amp; Operations Support','187','(647) 774-8994','---','lily@ihmg.ca','Staff');</v>
      </c>
    </row>
    <row r="78" spans="1:13" x14ac:dyDescent="0.3">
      <c r="A78" s="5">
        <v>77</v>
      </c>
      <c r="B78" t="s">
        <v>179</v>
      </c>
      <c r="C78" t="s">
        <v>171</v>
      </c>
      <c r="D78">
        <v>1</v>
      </c>
      <c r="E78" t="s">
        <v>143</v>
      </c>
      <c r="G78" t="s">
        <v>191</v>
      </c>
      <c r="H78">
        <v>541</v>
      </c>
      <c r="I78" s="6" t="s">
        <v>13</v>
      </c>
      <c r="J78" s="6" t="s">
        <v>13</v>
      </c>
      <c r="K78" s="6" t="s">
        <v>193</v>
      </c>
      <c r="L78" t="s">
        <v>191</v>
      </c>
      <c r="M78" t="str">
        <f t="shared" si="17"/>
        <v>INSERT INTO `directory` (`order`, `office`, `displayname`, `title`, `ext`, `personalTel`, `directTel`, `email`, `contacttype`)  VALUES ('77','1','Lunch Room','Meeting Room','541','---','---','-','Meeting Room');</v>
      </c>
    </row>
    <row r="79" spans="1:13" x14ac:dyDescent="0.3">
      <c r="A79" s="5">
        <v>78</v>
      </c>
      <c r="B79" t="s">
        <v>179</v>
      </c>
      <c r="C79" t="s">
        <v>171</v>
      </c>
      <c r="D79">
        <v>1</v>
      </c>
      <c r="E79" t="s">
        <v>144</v>
      </c>
      <c r="G79" t="s">
        <v>191</v>
      </c>
      <c r="H79">
        <v>250</v>
      </c>
      <c r="I79" s="6" t="s">
        <v>13</v>
      </c>
      <c r="J79" s="6" t="s">
        <v>13</v>
      </c>
      <c r="K79" s="6" t="s">
        <v>193</v>
      </c>
      <c r="L79" t="s">
        <v>191</v>
      </c>
      <c r="M79" t="str">
        <f t="shared" si="17"/>
        <v>INSERT INTO `directory` (`order`, `office`, `displayname`, `title`, `ext`, `personalTel`, `directTel`, `email`, `contacttype`)  VALUES ('78','1','Markham Room','Meeting Room','250','---','---','-','Meeting Room');</v>
      </c>
    </row>
    <row r="80" spans="1:13" x14ac:dyDescent="0.3">
      <c r="A80" s="5">
        <v>79</v>
      </c>
      <c r="B80" t="s">
        <v>179</v>
      </c>
      <c r="C80" t="s">
        <v>171</v>
      </c>
      <c r="D80">
        <v>1</v>
      </c>
      <c r="E80" t="s">
        <v>145</v>
      </c>
      <c r="G80" t="s">
        <v>191</v>
      </c>
      <c r="H80">
        <v>226</v>
      </c>
      <c r="I80" s="6" t="s">
        <v>13</v>
      </c>
      <c r="J80" s="6" t="s">
        <v>13</v>
      </c>
      <c r="K80" s="6" t="s">
        <v>193</v>
      </c>
      <c r="L80" t="s">
        <v>191</v>
      </c>
      <c r="M80" t="str">
        <f t="shared" si="17"/>
        <v>INSERT INTO `directory` (`order`, `office`, `displayname`, `title`, `ext`, `personalTel`, `directTel`, `email`, `contacttype`)  VALUES ('79','1','Mississauga Room','Meeting Room','226','---','---','-','Meeting Room');</v>
      </c>
    </row>
    <row r="81" spans="1:13" x14ac:dyDescent="0.3">
      <c r="A81" s="5">
        <v>80</v>
      </c>
      <c r="B81" t="s">
        <v>179</v>
      </c>
      <c r="C81" t="s">
        <v>171</v>
      </c>
      <c r="D81">
        <v>1</v>
      </c>
      <c r="E81" t="s">
        <v>146</v>
      </c>
      <c r="G81" t="s">
        <v>191</v>
      </c>
      <c r="H81">
        <v>288</v>
      </c>
      <c r="I81" s="6" t="s">
        <v>13</v>
      </c>
      <c r="J81" s="6" t="s">
        <v>13</v>
      </c>
      <c r="K81" s="6" t="s">
        <v>193</v>
      </c>
      <c r="L81" t="s">
        <v>191</v>
      </c>
      <c r="M81" t="str">
        <f t="shared" si="17"/>
        <v>INSERT INTO `directory` (`order`, `office`, `displayname`, `title`, `ext`, `personalTel`, `directTel`, `email`, `contacttype`)  VALUES ('80','1','The Living Room','Meeting Room','288','---','---','-','Meeting Room');</v>
      </c>
    </row>
    <row r="82" spans="1:13" x14ac:dyDescent="0.3">
      <c r="A82" s="5">
        <v>81</v>
      </c>
      <c r="B82" t="s">
        <v>179</v>
      </c>
      <c r="C82" t="s">
        <v>171</v>
      </c>
      <c r="D82">
        <v>1</v>
      </c>
      <c r="E82" t="s">
        <v>147</v>
      </c>
      <c r="G82" t="s">
        <v>191</v>
      </c>
      <c r="H82">
        <v>208</v>
      </c>
      <c r="I82" s="6" t="s">
        <v>13</v>
      </c>
      <c r="J82" s="6" t="s">
        <v>13</v>
      </c>
      <c r="K82" s="6" t="s">
        <v>193</v>
      </c>
      <c r="L82" t="s">
        <v>191</v>
      </c>
      <c r="M82" t="str">
        <f t="shared" si="17"/>
        <v>INSERT INTO `directory` (`order`, `office`, `displayname`, `title`, `ext`, `personalTel`, `directTel`, `email`, `contacttype`)  VALUES ('81','1','Toronto Room','Meeting Room','208','---','---','-','Meeting Room');</v>
      </c>
    </row>
    <row r="83" spans="1:13" x14ac:dyDescent="0.3">
      <c r="A83" s="5">
        <v>82</v>
      </c>
      <c r="B83" t="s">
        <v>179</v>
      </c>
      <c r="C83" t="s">
        <v>171</v>
      </c>
      <c r="D83">
        <v>1</v>
      </c>
      <c r="E83" t="s">
        <v>148</v>
      </c>
      <c r="G83" t="s">
        <v>191</v>
      </c>
      <c r="H83">
        <v>524</v>
      </c>
      <c r="I83" s="6" t="s">
        <v>13</v>
      </c>
      <c r="J83" s="6" t="s">
        <v>13</v>
      </c>
      <c r="K83" s="6" t="s">
        <v>193</v>
      </c>
      <c r="L83" t="s">
        <v>191</v>
      </c>
      <c r="M83" t="str">
        <f t="shared" si="17"/>
        <v>INSERT INTO `directory` (`order`, `office`, `displayname`, `title`, `ext`, `personalTel`, `directTel`, `email`, `contacttype`)  VALUES ('82','1','York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29" r:id="rId4" xr:uid="{00DF1362-6E25-4F93-817E-87B7D5053E83}"/>
    <hyperlink ref="K44" r:id="rId5" xr:uid="{52D2CA8B-EEC2-437B-8358-39021C3922A5}"/>
    <hyperlink ref="K76" r:id="rId6" xr:uid="{39562F23-6CA7-49AB-9C7B-CFFD135D5569}"/>
    <hyperlink ref="K77" r:id="rId7" xr:uid="{7D0A575D-6D1E-459A-8BE1-834C87DE6FF3}"/>
    <hyperlink ref="K75" r:id="rId8" xr:uid="{9DB04ED1-2784-42AB-8591-C19CE3C56BAB}"/>
    <hyperlink ref="K9" r:id="rId9" xr:uid="{20EDEC14-38F2-4118-8479-655D5EFC4DEE}"/>
    <hyperlink ref="K31" r:id="rId10" xr:uid="{C9F0094A-C483-4C7B-ABF0-879EAE2A2AB2}"/>
    <hyperlink ref="K59" r:id="rId11" xr:uid="{859B2763-7E68-453C-A061-50B98A6FFD08}"/>
    <hyperlink ref="K30" r:id="rId12" xr:uid="{2A81680F-E264-4A37-BA66-E7145340240C}"/>
    <hyperlink ref="K23" r:id="rId13" xr:uid="{C415D613-1570-441D-A891-ED3A35DEB1A5}"/>
    <hyperlink ref="K35" r:id="rId14" xr:uid="{5DA780DA-5AE3-4673-B2D5-44E74D6CADF4}"/>
    <hyperlink ref="K22" r:id="rId15" xr:uid="{D1B93B60-C4A2-4C1E-A23F-AA7F2DF69C12}"/>
    <hyperlink ref="K55" r:id="rId16" xr:uid="{605D06FB-BDCA-4D83-A43A-BE83330B88FB}"/>
    <hyperlink ref="K19" r:id="rId17" xr:uid="{B648B368-E192-405E-AF40-90D54C14ED98}"/>
    <hyperlink ref="K56" r:id="rId18" xr:uid="{808CD1D5-334F-4AE6-8D51-87CD2C3A649E}"/>
    <hyperlink ref="K53" r:id="rId19" xr:uid="{E8B48719-363A-49FC-B3C8-181E5CD398EA}"/>
    <hyperlink ref="K47" r:id="rId20" xr:uid="{741920D7-852F-438F-9B8A-B9ABD3DE381E}"/>
    <hyperlink ref="K72" r:id="rId21" display="mailto:optima2@livingproperties.com" xr:uid="{FC418030-4EE8-4439-92C7-DD13F00F4D6A}"/>
    <hyperlink ref="K64" r:id="rId22" xr:uid="{51FF6984-1DC6-430F-8E60-254E7A49BE1B}"/>
    <hyperlink ref="K71" r:id="rId23" xr:uid="{9681E0BE-E957-4347-8DBD-4A244171852E}"/>
    <hyperlink ref="K65" r:id="rId24" xr:uid="{30A38D56-4D68-485C-9630-D527FE1A7375}"/>
    <hyperlink ref="K16" r:id="rId25" xr:uid="{B4D2F180-C9A6-4272-89D7-2F45E07DF9D9}"/>
    <hyperlink ref="K50" r:id="rId26" xr:uid="{A9377D63-6925-44E0-9C10-08AA1C1392A0}"/>
    <hyperlink ref="K5" r:id="rId27" xr:uid="{4DE7FF7F-49C2-494C-9ADB-BFB49C469051}"/>
    <hyperlink ref="K12" r:id="rId28" xr:uid="{90CB7667-927C-4A55-A4D2-5ECF1714DD75}"/>
    <hyperlink ref="K15" r:id="rId29" xr:uid="{D736220D-F75D-48ED-8215-388BFD7FD301}"/>
    <hyperlink ref="K17" r:id="rId30" xr:uid="{817B083C-1611-4901-8A1D-B030947152E8}"/>
    <hyperlink ref="K18" r:id="rId31" xr:uid="{752CA09E-105C-4C44-8813-DDB06D0C764D}"/>
    <hyperlink ref="K20" r:id="rId32" xr:uid="{A7F2B0B7-6CD2-46B0-BB3A-E30D6262FA40}"/>
    <hyperlink ref="K21" r:id="rId33" xr:uid="{9B61C4AA-A004-4FEE-9055-CCAA2E34D986}"/>
    <hyperlink ref="K24" r:id="rId34" xr:uid="{50B74B28-16D3-4C9C-B649-AC16BE018A83}"/>
    <hyperlink ref="K25" r:id="rId35" xr:uid="{A3065F38-759F-4602-8D3C-7233C32A3032}"/>
    <hyperlink ref="K26" r:id="rId36" xr:uid="{C3F36426-076E-4E31-9F0B-0EA3A6B1DD75}"/>
    <hyperlink ref="K27" r:id="rId37" xr:uid="{E62BDC17-BE73-4321-AC87-B2F1AC44C52D}"/>
    <hyperlink ref="K33" r:id="rId38" xr:uid="{26ECB104-FD6B-4BA7-BC13-956EEDFA68E3}"/>
    <hyperlink ref="K34" r:id="rId39" xr:uid="{F9DADC4C-0A70-47E0-AB40-D008FA823714}"/>
    <hyperlink ref="K40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68" r:id="rId44" xr:uid="{CF0A0F84-6B70-448A-A7E4-353F76C06344}"/>
    <hyperlink ref="K36" r:id="rId45" xr:uid="{F255A40E-E7F9-46E9-80A6-89E7F5CECB64}"/>
    <hyperlink ref="K37" r:id="rId46" xr:uid="{F33CFE79-8711-4EBC-9CB7-252D909356D4}"/>
    <hyperlink ref="K38" r:id="rId47" xr:uid="{B46830F1-4C98-4965-8EC5-D6EBD7A32C28}"/>
    <hyperlink ref="K57" r:id="rId48" xr:uid="{9D43AF14-0E24-4C14-AD35-9A3EEC0FCFA3}"/>
    <hyperlink ref="K48" r:id="rId49" xr:uid="{C4723849-58CB-441D-8956-C096D16EB2A8}"/>
    <hyperlink ref="K10" r:id="rId50" xr:uid="{D399DD4D-94FB-4195-932E-DB5272684B27}"/>
    <hyperlink ref="K14" r:id="rId51" xr:uid="{E60717EF-9C6B-447A-B1BA-FB4D65924041}"/>
    <hyperlink ref="K32" r:id="rId52" xr:uid="{B8F1F465-51CE-4CE4-A2D0-B12797D52113}"/>
    <hyperlink ref="K49" r:id="rId53" xr:uid="{1E2A7E5E-93B3-44C9-BC85-0CC63A34D9F1}"/>
  </hyperlinks>
  <pageMargins left="0.7" right="0.7" top="0.75" bottom="0.75" header="0.3" footer="0.3"/>
  <pageSetup orientation="portrait" r:id="rId54"/>
  <tableParts count="1">
    <tablePart r:id="rId5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51</v>
      </c>
    </row>
    <row r="4" spans="2:2" x14ac:dyDescent="0.3">
      <c r="B4" t="s">
        <v>62</v>
      </c>
    </row>
    <row r="5" spans="2:2" x14ac:dyDescent="0.3">
      <c r="B5" t="s">
        <v>67</v>
      </c>
    </row>
    <row r="6" spans="2:2" x14ac:dyDescent="0.3">
      <c r="B6" t="s">
        <v>72</v>
      </c>
    </row>
    <row r="7" spans="2:2" x14ac:dyDescent="0.3">
      <c r="B7" t="s">
        <v>78</v>
      </c>
    </row>
    <row r="8" spans="2:2" x14ac:dyDescent="0.3">
      <c r="B8" t="s">
        <v>80</v>
      </c>
    </row>
    <row r="9" spans="2:2" x14ac:dyDescent="0.3">
      <c r="B9" t="s">
        <v>85</v>
      </c>
    </row>
    <row r="10" spans="2:2" x14ac:dyDescent="0.3">
      <c r="B10" t="s">
        <v>113</v>
      </c>
    </row>
    <row r="11" spans="2:2" x14ac:dyDescent="0.3">
      <c r="B11" t="s">
        <v>137</v>
      </c>
    </row>
    <row r="12" spans="2:2" x14ac:dyDescent="0.3">
      <c r="B12" t="s">
        <v>138</v>
      </c>
    </row>
    <row r="13" spans="2:2" x14ac:dyDescent="0.3">
      <c r="B13" t="s">
        <v>124</v>
      </c>
    </row>
    <row r="14" spans="2:2" x14ac:dyDescent="0.3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2026-04-08T19:33:52Z</cp:lastPrinted>
  <dcterms:created xsi:type="dcterms:W3CDTF">2022-03-18T20:07:19Z</dcterms:created>
  <dcterms:modified xsi:type="dcterms:W3CDTF">2026-04-21T18:59:42Z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