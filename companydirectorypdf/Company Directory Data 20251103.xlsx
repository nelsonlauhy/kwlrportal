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cuments\GitHub\intranetportal\companydirectorypdf\"/>
    </mc:Choice>
  </mc:AlternateContent>
  <xr:revisionPtr revIDLastSave="0" documentId="13_ncr:1_{0E455100-B071-48BE-BB27-2A81CFA06E73}" xr6:coauthVersionLast="47" xr6:coauthVersionMax="47" xr10:uidLastSave="{00000000-0000-0000-0000-000000000000}"/>
  <bookViews>
    <workbookView xWindow="-90" yWindow="-16440" windowWidth="29040" windowHeight="15720" xr2:uid="{AE6EE1E0-C559-4053-97E8-B14EEDB6E6F6}"/>
  </bookViews>
  <sheets>
    <sheet name="Letter Size" sheetId="8" r:id="rId1"/>
    <sheet name="Legal Size" sheetId="9" r:id="rId2"/>
    <sheet name="ContactData" sheetId="7" r:id="rId3"/>
    <sheet name="Sorting" sheetId="3" state="hidden" r:id="rId4"/>
  </sheets>
  <definedNames>
    <definedName name="_xlnm.Print_Area" localSheetId="1">'Legal Size'!$A$1:$F$80</definedName>
    <definedName name="_xlnm.Print_Area" localSheetId="0">'Letter Size'!$A$1:$I$79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9" l="1"/>
  <c r="E53" i="9"/>
  <c r="D53" i="9"/>
  <c r="C53" i="9"/>
  <c r="B53" i="9"/>
  <c r="A53" i="9"/>
  <c r="F34" i="9"/>
  <c r="E34" i="9"/>
  <c r="D34" i="9"/>
  <c r="C34" i="9"/>
  <c r="B34" i="9"/>
  <c r="A34" i="9"/>
  <c r="F33" i="9"/>
  <c r="E33" i="9"/>
  <c r="D33" i="9"/>
  <c r="C33" i="9"/>
  <c r="B33" i="9"/>
  <c r="A33" i="9"/>
  <c r="F38" i="9"/>
  <c r="E38" i="9"/>
  <c r="D38" i="9"/>
  <c r="C38" i="9"/>
  <c r="B38" i="9"/>
  <c r="A38" i="9"/>
  <c r="F37" i="9"/>
  <c r="E37" i="9"/>
  <c r="D37" i="9"/>
  <c r="C37" i="9"/>
  <c r="B37" i="9"/>
  <c r="A37" i="9"/>
  <c r="F53" i="8"/>
  <c r="E53" i="8"/>
  <c r="D53" i="8"/>
  <c r="C53" i="8"/>
  <c r="B53" i="8"/>
  <c r="A53" i="8"/>
  <c r="F34" i="8"/>
  <c r="E34" i="8"/>
  <c r="D34" i="8"/>
  <c r="C34" i="8"/>
  <c r="B34" i="8"/>
  <c r="A34" i="8"/>
  <c r="F33" i="8"/>
  <c r="E33" i="8"/>
  <c r="D33" i="8"/>
  <c r="C33" i="8"/>
  <c r="B33" i="8"/>
  <c r="A33" i="8"/>
  <c r="F38" i="8"/>
  <c r="E38" i="8"/>
  <c r="D38" i="8"/>
  <c r="C38" i="8"/>
  <c r="B38" i="8"/>
  <c r="A38" i="8"/>
  <c r="F37" i="8"/>
  <c r="E37" i="8"/>
  <c r="D37" i="8"/>
  <c r="C37" i="8"/>
  <c r="B37" i="8"/>
  <c r="A37" i="8"/>
  <c r="M33" i="7"/>
  <c r="M52" i="7"/>
  <c r="M37" i="7"/>
  <c r="F16" i="8"/>
  <c r="E16" i="8"/>
  <c r="D16" i="8"/>
  <c r="C16" i="8"/>
  <c r="B16" i="8"/>
  <c r="A16" i="8"/>
  <c r="F24" i="9"/>
  <c r="E24" i="9"/>
  <c r="D24" i="9"/>
  <c r="C24" i="9"/>
  <c r="B24" i="9"/>
  <c r="A24" i="9"/>
  <c r="F16" i="9"/>
  <c r="E16" i="9"/>
  <c r="D16" i="9"/>
  <c r="C16" i="9"/>
  <c r="B16" i="9"/>
  <c r="A16" i="9"/>
  <c r="M15" i="7"/>
  <c r="F15" i="8"/>
  <c r="E15" i="8"/>
  <c r="D15" i="8"/>
  <c r="C15" i="8"/>
  <c r="B15" i="8"/>
  <c r="A15" i="8"/>
  <c r="F15" i="9"/>
  <c r="E15" i="9"/>
  <c r="D15" i="9"/>
  <c r="C15" i="9"/>
  <c r="B15" i="9"/>
  <c r="A15" i="9"/>
  <c r="M14" i="7"/>
  <c r="F76" i="9"/>
  <c r="E76" i="9"/>
  <c r="D76" i="9"/>
  <c r="C76" i="9"/>
  <c r="B76" i="9"/>
  <c r="A76" i="9"/>
  <c r="F72" i="9"/>
  <c r="E72" i="9"/>
  <c r="D72" i="9"/>
  <c r="C72" i="9"/>
  <c r="B72" i="9"/>
  <c r="A72" i="9"/>
  <c r="F69" i="9"/>
  <c r="E69" i="9"/>
  <c r="D69" i="9"/>
  <c r="C69" i="9"/>
  <c r="B69" i="9"/>
  <c r="A69" i="9"/>
  <c r="F66" i="9"/>
  <c r="E66" i="9"/>
  <c r="D66" i="9"/>
  <c r="C66" i="9"/>
  <c r="B66" i="9"/>
  <c r="A66" i="9"/>
  <c r="F76" i="8"/>
  <c r="E76" i="8"/>
  <c r="D76" i="8"/>
  <c r="C76" i="8"/>
  <c r="B76" i="8"/>
  <c r="A76" i="8"/>
  <c r="F72" i="8"/>
  <c r="E72" i="8"/>
  <c r="D72" i="8"/>
  <c r="C72" i="8"/>
  <c r="B72" i="8"/>
  <c r="A72" i="8"/>
  <c r="F69" i="8"/>
  <c r="E69" i="8"/>
  <c r="D69" i="8"/>
  <c r="C69" i="8"/>
  <c r="B69" i="8"/>
  <c r="A69" i="8"/>
  <c r="F66" i="8"/>
  <c r="E66" i="8"/>
  <c r="D66" i="8"/>
  <c r="C66" i="8"/>
  <c r="B66" i="8"/>
  <c r="A66" i="8"/>
  <c r="M68" i="7"/>
  <c r="M71" i="7"/>
  <c r="M65" i="7"/>
  <c r="M75" i="7"/>
  <c r="F11" i="8"/>
  <c r="E11" i="8"/>
  <c r="D11" i="8"/>
  <c r="C11" i="8"/>
  <c r="B11" i="8"/>
  <c r="A11" i="8"/>
  <c r="F11" i="9"/>
  <c r="E11" i="9"/>
  <c r="D11" i="9"/>
  <c r="C11" i="9"/>
  <c r="B11" i="9"/>
  <c r="A11" i="9"/>
  <c r="M10" i="7"/>
  <c r="F51" i="9"/>
  <c r="E51" i="9"/>
  <c r="D51" i="9"/>
  <c r="C51" i="9"/>
  <c r="B51" i="9"/>
  <c r="A51" i="9"/>
  <c r="F51" i="8"/>
  <c r="E51" i="8"/>
  <c r="D51" i="8"/>
  <c r="C51" i="8"/>
  <c r="B51" i="8"/>
  <c r="A51" i="8"/>
  <c r="M50" i="7"/>
  <c r="F60" i="9"/>
  <c r="E60" i="9"/>
  <c r="D60" i="9"/>
  <c r="C60" i="9"/>
  <c r="B60" i="9"/>
  <c r="A60" i="9"/>
  <c r="F60" i="8"/>
  <c r="E60" i="8"/>
  <c r="D60" i="8"/>
  <c r="C60" i="8"/>
  <c r="B60" i="8"/>
  <c r="A60" i="8"/>
  <c r="M59" i="7"/>
  <c r="F62" i="9"/>
  <c r="E62" i="9"/>
  <c r="D62" i="9"/>
  <c r="C62" i="9"/>
  <c r="B62" i="9"/>
  <c r="A62" i="9"/>
  <c r="F61" i="9"/>
  <c r="E61" i="9"/>
  <c r="D61" i="9"/>
  <c r="C61" i="9"/>
  <c r="B61" i="9"/>
  <c r="A61" i="9"/>
  <c r="F80" i="8"/>
  <c r="E80" i="8"/>
  <c r="D80" i="8"/>
  <c r="C80" i="8"/>
  <c r="B80" i="8"/>
  <c r="A80" i="8"/>
  <c r="F79" i="8"/>
  <c r="E79" i="8"/>
  <c r="D79" i="8"/>
  <c r="C79" i="8"/>
  <c r="B79" i="8"/>
  <c r="A79" i="8"/>
  <c r="F78" i="8"/>
  <c r="E78" i="8"/>
  <c r="D78" i="8"/>
  <c r="C78" i="8"/>
  <c r="B78" i="8"/>
  <c r="A78" i="8"/>
  <c r="F77" i="8"/>
  <c r="E77" i="8"/>
  <c r="D77" i="8"/>
  <c r="C77" i="8"/>
  <c r="B77" i="8"/>
  <c r="A77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1" i="8"/>
  <c r="E71" i="8"/>
  <c r="D71" i="8"/>
  <c r="C71" i="8"/>
  <c r="B71" i="8"/>
  <c r="A71" i="8"/>
  <c r="F70" i="8"/>
  <c r="E70" i="8"/>
  <c r="D70" i="8"/>
  <c r="C70" i="8"/>
  <c r="B70" i="8"/>
  <c r="A70" i="8"/>
  <c r="F68" i="8"/>
  <c r="E68" i="8"/>
  <c r="D68" i="8"/>
  <c r="C68" i="8"/>
  <c r="B68" i="8"/>
  <c r="A68" i="8"/>
  <c r="F67" i="8"/>
  <c r="E67" i="8"/>
  <c r="D67" i="8"/>
  <c r="C67" i="8"/>
  <c r="B67" i="8"/>
  <c r="A67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2" i="8"/>
  <c r="E52" i="8"/>
  <c r="D52" i="8"/>
  <c r="C52" i="8"/>
  <c r="B52" i="8"/>
  <c r="A52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43" i="8"/>
  <c r="E43" i="8"/>
  <c r="D43" i="8"/>
  <c r="C43" i="8"/>
  <c r="B43" i="8"/>
  <c r="A43" i="8"/>
  <c r="F42" i="8"/>
  <c r="E42" i="8"/>
  <c r="D42" i="8"/>
  <c r="C42" i="8"/>
  <c r="B42" i="8"/>
  <c r="A42" i="8"/>
  <c r="F41" i="8"/>
  <c r="E41" i="8"/>
  <c r="D41" i="8"/>
  <c r="C41" i="8"/>
  <c r="B41" i="8"/>
  <c r="A41" i="8"/>
  <c r="F40" i="8"/>
  <c r="E40" i="8"/>
  <c r="D40" i="8"/>
  <c r="C40" i="8"/>
  <c r="B40" i="8"/>
  <c r="A40" i="8"/>
  <c r="F39" i="8"/>
  <c r="E39" i="8"/>
  <c r="D39" i="8"/>
  <c r="C39" i="8"/>
  <c r="B39" i="8"/>
  <c r="A39" i="8"/>
  <c r="F36" i="8"/>
  <c r="E36" i="8"/>
  <c r="D36" i="8"/>
  <c r="C36" i="8"/>
  <c r="B36" i="8"/>
  <c r="A36" i="8"/>
  <c r="F35" i="8"/>
  <c r="E35" i="8"/>
  <c r="D35" i="8"/>
  <c r="C35" i="8"/>
  <c r="B35" i="8"/>
  <c r="A35" i="8"/>
  <c r="F32" i="8"/>
  <c r="E32" i="8"/>
  <c r="D32" i="8"/>
  <c r="C32" i="8"/>
  <c r="B32" i="8"/>
  <c r="A32" i="8"/>
  <c r="F31" i="8"/>
  <c r="E31" i="8"/>
  <c r="D31" i="8"/>
  <c r="C31" i="8"/>
  <c r="B31" i="8"/>
  <c r="A31" i="8"/>
  <c r="F30" i="8"/>
  <c r="E30" i="8"/>
  <c r="D30" i="8"/>
  <c r="C30" i="8"/>
  <c r="B30" i="8"/>
  <c r="A30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80" i="9"/>
  <c r="E80" i="9"/>
  <c r="D80" i="9"/>
  <c r="C80" i="9"/>
  <c r="B80" i="9"/>
  <c r="A80" i="9"/>
  <c r="F79" i="9"/>
  <c r="E79" i="9"/>
  <c r="D79" i="9"/>
  <c r="C79" i="9"/>
  <c r="B79" i="9"/>
  <c r="A79" i="9"/>
  <c r="F78" i="9"/>
  <c r="E78" i="9"/>
  <c r="D78" i="9"/>
  <c r="C78" i="9"/>
  <c r="B78" i="9"/>
  <c r="A78" i="9"/>
  <c r="F77" i="9"/>
  <c r="E77" i="9"/>
  <c r="D77" i="9"/>
  <c r="C77" i="9"/>
  <c r="B77" i="9"/>
  <c r="A77" i="9"/>
  <c r="F75" i="9"/>
  <c r="E75" i="9"/>
  <c r="D75" i="9"/>
  <c r="C75" i="9"/>
  <c r="B75" i="9"/>
  <c r="A75" i="9"/>
  <c r="F74" i="9"/>
  <c r="E74" i="9"/>
  <c r="D74" i="9"/>
  <c r="C74" i="9"/>
  <c r="B74" i="9"/>
  <c r="A74" i="9"/>
  <c r="F73" i="9"/>
  <c r="E73" i="9"/>
  <c r="D73" i="9"/>
  <c r="C73" i="9"/>
  <c r="B73" i="9"/>
  <c r="A73" i="9"/>
  <c r="F71" i="9"/>
  <c r="E71" i="9"/>
  <c r="D71" i="9"/>
  <c r="C71" i="9"/>
  <c r="B71" i="9"/>
  <c r="A71" i="9"/>
  <c r="F70" i="9"/>
  <c r="E70" i="9"/>
  <c r="D70" i="9"/>
  <c r="C70" i="9"/>
  <c r="B70" i="9"/>
  <c r="A70" i="9"/>
  <c r="F68" i="9"/>
  <c r="E68" i="9"/>
  <c r="D68" i="9"/>
  <c r="C68" i="9"/>
  <c r="B68" i="9"/>
  <c r="A68" i="9"/>
  <c r="F67" i="9"/>
  <c r="E67" i="9"/>
  <c r="D67" i="9"/>
  <c r="C67" i="9"/>
  <c r="B67" i="9"/>
  <c r="A67" i="9"/>
  <c r="F65" i="9"/>
  <c r="E65" i="9"/>
  <c r="D65" i="9"/>
  <c r="C65" i="9"/>
  <c r="B65" i="9"/>
  <c r="A65" i="9"/>
  <c r="F64" i="9"/>
  <c r="E64" i="9"/>
  <c r="D64" i="9"/>
  <c r="C64" i="9"/>
  <c r="B64" i="9"/>
  <c r="A64" i="9"/>
  <c r="F63" i="9"/>
  <c r="E63" i="9"/>
  <c r="D63" i="9"/>
  <c r="C63" i="9"/>
  <c r="B63" i="9"/>
  <c r="A63" i="9"/>
  <c r="F59" i="9"/>
  <c r="E59" i="9"/>
  <c r="D59" i="9"/>
  <c r="C59" i="9"/>
  <c r="B59" i="9"/>
  <c r="A59" i="9"/>
  <c r="F58" i="9"/>
  <c r="E58" i="9"/>
  <c r="D58" i="9"/>
  <c r="C58" i="9"/>
  <c r="B58" i="9"/>
  <c r="A58" i="9"/>
  <c r="F57" i="9"/>
  <c r="E57" i="9"/>
  <c r="D57" i="9"/>
  <c r="C57" i="9"/>
  <c r="B57" i="9"/>
  <c r="A57" i="9"/>
  <c r="F56" i="9"/>
  <c r="E56" i="9"/>
  <c r="D56" i="9"/>
  <c r="C56" i="9"/>
  <c r="B56" i="9"/>
  <c r="A56" i="9"/>
  <c r="F55" i="9"/>
  <c r="E55" i="9"/>
  <c r="D55" i="9"/>
  <c r="C55" i="9"/>
  <c r="B55" i="9"/>
  <c r="A55" i="9"/>
  <c r="F54" i="9"/>
  <c r="E54" i="9"/>
  <c r="D54" i="9"/>
  <c r="C54" i="9"/>
  <c r="B54" i="9"/>
  <c r="A54" i="9"/>
  <c r="F52" i="9"/>
  <c r="E52" i="9"/>
  <c r="D52" i="9"/>
  <c r="C52" i="9"/>
  <c r="B52" i="9"/>
  <c r="A52" i="9"/>
  <c r="F50" i="9"/>
  <c r="E50" i="9"/>
  <c r="D50" i="9"/>
  <c r="C50" i="9"/>
  <c r="B50" i="9"/>
  <c r="A50" i="9"/>
  <c r="F49" i="9"/>
  <c r="E49" i="9"/>
  <c r="D49" i="9"/>
  <c r="C49" i="9"/>
  <c r="B49" i="9"/>
  <c r="A49" i="9"/>
  <c r="F48" i="9"/>
  <c r="E48" i="9"/>
  <c r="D48" i="9"/>
  <c r="C48" i="9"/>
  <c r="B48" i="9"/>
  <c r="A48" i="9"/>
  <c r="F47" i="9"/>
  <c r="E47" i="9"/>
  <c r="D47" i="9"/>
  <c r="C47" i="9"/>
  <c r="B47" i="9"/>
  <c r="A47" i="9"/>
  <c r="F46" i="9"/>
  <c r="E46" i="9"/>
  <c r="D46" i="9"/>
  <c r="C46" i="9"/>
  <c r="B46" i="9"/>
  <c r="A46" i="9"/>
  <c r="F45" i="9"/>
  <c r="E45" i="9"/>
  <c r="D45" i="9"/>
  <c r="C45" i="9"/>
  <c r="B45" i="9"/>
  <c r="A45" i="9"/>
  <c r="F44" i="9"/>
  <c r="E44" i="9"/>
  <c r="D44" i="9"/>
  <c r="C44" i="9"/>
  <c r="B44" i="9"/>
  <c r="A44" i="9"/>
  <c r="F43" i="9"/>
  <c r="E43" i="9"/>
  <c r="D43" i="9"/>
  <c r="C43" i="9"/>
  <c r="B43" i="9"/>
  <c r="A43" i="9"/>
  <c r="F42" i="9"/>
  <c r="E42" i="9"/>
  <c r="D42" i="9"/>
  <c r="C42" i="9"/>
  <c r="B42" i="9"/>
  <c r="A42" i="9"/>
  <c r="F41" i="9"/>
  <c r="E41" i="9"/>
  <c r="D41" i="9"/>
  <c r="C41" i="9"/>
  <c r="B41" i="9"/>
  <c r="A41" i="9"/>
  <c r="F40" i="9"/>
  <c r="E40" i="9"/>
  <c r="D40" i="9"/>
  <c r="C40" i="9"/>
  <c r="B40" i="9"/>
  <c r="A40" i="9"/>
  <c r="F39" i="9"/>
  <c r="E39" i="9"/>
  <c r="D39" i="9"/>
  <c r="C39" i="9"/>
  <c r="B39" i="9"/>
  <c r="A39" i="9"/>
  <c r="F36" i="9"/>
  <c r="E36" i="9"/>
  <c r="D36" i="9"/>
  <c r="C36" i="9"/>
  <c r="B36" i="9"/>
  <c r="A36" i="9"/>
  <c r="F35" i="9"/>
  <c r="E35" i="9"/>
  <c r="D35" i="9"/>
  <c r="C35" i="9"/>
  <c r="B35" i="9"/>
  <c r="A35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M40" i="7"/>
  <c r="M39" i="7"/>
  <c r="M38" i="7"/>
  <c r="M70" i="7"/>
  <c r="M69" i="7"/>
  <c r="F25" i="9"/>
  <c r="E25" i="9"/>
  <c r="D25" i="9"/>
  <c r="C25" i="9"/>
  <c r="B25" i="9"/>
  <c r="A25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F25" i="8"/>
  <c r="E25" i="8"/>
  <c r="D25" i="8"/>
  <c r="C25" i="8"/>
  <c r="B25" i="8"/>
  <c r="A25" i="8"/>
  <c r="F24" i="8"/>
  <c r="E24" i="8"/>
  <c r="D24" i="8"/>
  <c r="C24" i="8"/>
  <c r="B24" i="8"/>
  <c r="A24" i="8"/>
  <c r="F23" i="8"/>
  <c r="E23" i="8"/>
  <c r="D23" i="8"/>
  <c r="C23" i="8"/>
  <c r="B23" i="8"/>
  <c r="A23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D17" i="8"/>
  <c r="C17" i="8"/>
  <c r="B17" i="8"/>
  <c r="A17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0" i="8"/>
  <c r="E10" i="8"/>
  <c r="D10" i="8"/>
  <c r="C10" i="8"/>
  <c r="B10" i="8"/>
  <c r="A10" i="8"/>
  <c r="F9" i="8"/>
  <c r="E9" i="8"/>
  <c r="D9" i="8"/>
  <c r="C9" i="8"/>
  <c r="B9" i="8"/>
  <c r="A9" i="8"/>
  <c r="I8" i="8"/>
  <c r="H8" i="8"/>
  <c r="F8" i="8"/>
  <c r="E8" i="8"/>
  <c r="D8" i="8"/>
  <c r="C8" i="8"/>
  <c r="B8" i="8"/>
  <c r="A8" i="8"/>
  <c r="I7" i="8"/>
  <c r="H7" i="8"/>
  <c r="F7" i="8"/>
  <c r="E7" i="8"/>
  <c r="D7" i="8"/>
  <c r="C7" i="8"/>
  <c r="B7" i="8"/>
  <c r="A7" i="8"/>
  <c r="M11" i="7"/>
  <c r="M7" i="7"/>
  <c r="M6" i="7"/>
  <c r="F26" i="9"/>
  <c r="E26" i="9"/>
  <c r="D26" i="9"/>
  <c r="C26" i="9"/>
  <c r="B26" i="9"/>
  <c r="A26" i="9"/>
  <c r="F26" i="8"/>
  <c r="E26" i="8"/>
  <c r="D26" i="8"/>
  <c r="C26" i="8"/>
  <c r="B26" i="8"/>
  <c r="A26" i="8"/>
  <c r="M51" i="7"/>
  <c r="M21" i="7"/>
  <c r="M29" i="7"/>
  <c r="M73" i="7"/>
  <c r="M72" i="7"/>
  <c r="M74" i="7"/>
  <c r="M67" i="7"/>
  <c r="M49" i="7"/>
  <c r="M55" i="7"/>
  <c r="M54" i="7"/>
  <c r="M58" i="7"/>
  <c r="M20" i="7"/>
  <c r="M57" i="7"/>
  <c r="M23" i="7"/>
  <c r="M2" i="7"/>
  <c r="M3" i="7"/>
  <c r="M4" i="7"/>
  <c r="M5" i="7"/>
  <c r="M8" i="7"/>
  <c r="M9" i="7"/>
  <c r="M12" i="7"/>
  <c r="M13" i="7"/>
  <c r="M16" i="7"/>
  <c r="M17" i="7"/>
  <c r="M18" i="7"/>
  <c r="M19" i="7"/>
  <c r="M22" i="7"/>
  <c r="M24" i="7"/>
  <c r="M25" i="7"/>
  <c r="M26" i="7"/>
  <c r="M27" i="7"/>
  <c r="M28" i="7"/>
  <c r="M30" i="7"/>
  <c r="M31" i="7"/>
  <c r="M32" i="7"/>
  <c r="M34" i="7"/>
  <c r="M35" i="7"/>
  <c r="M36" i="7"/>
  <c r="M41" i="7"/>
  <c r="M42" i="7"/>
  <c r="M43" i="7"/>
  <c r="M44" i="7"/>
  <c r="M45" i="7"/>
  <c r="M46" i="7"/>
  <c r="M47" i="7"/>
  <c r="M48" i="7"/>
  <c r="M53" i="7"/>
  <c r="M56" i="7"/>
  <c r="M60" i="7"/>
  <c r="M61" i="7"/>
  <c r="M62" i="7"/>
  <c r="M63" i="7"/>
  <c r="M64" i="7"/>
  <c r="M66" i="7"/>
  <c r="M76" i="7"/>
  <c r="M77" i="7"/>
  <c r="M78" i="7"/>
  <c r="M79" i="7"/>
  <c r="M80" i="7"/>
  <c r="M81" i="7"/>
  <c r="M82" i="7"/>
  <c r="M83" i="7"/>
  <c r="M84" i="7"/>
  <c r="M85" i="7"/>
  <c r="F27" i="9"/>
  <c r="E27" i="9"/>
  <c r="D27" i="9"/>
  <c r="C27" i="9"/>
  <c r="B27" i="9"/>
  <c r="A27" i="9"/>
  <c r="F5" i="9"/>
  <c r="E5" i="9"/>
  <c r="D5" i="9"/>
  <c r="C5" i="9"/>
  <c r="B5" i="9"/>
  <c r="A5" i="9"/>
  <c r="F4" i="9"/>
  <c r="E4" i="9"/>
  <c r="D4" i="9"/>
  <c r="C4" i="9"/>
  <c r="B4" i="9"/>
  <c r="A4" i="9"/>
  <c r="F3" i="9"/>
  <c r="E3" i="9"/>
  <c r="D3" i="9"/>
  <c r="C3" i="9"/>
  <c r="B3" i="9"/>
  <c r="A3" i="9"/>
  <c r="I6" i="8"/>
  <c r="H6" i="8"/>
  <c r="I5" i="8"/>
  <c r="H5" i="8"/>
  <c r="I4" i="8"/>
  <c r="H4" i="8"/>
  <c r="I3" i="8"/>
  <c r="H3" i="8"/>
  <c r="A6" i="8"/>
  <c r="A5" i="8"/>
  <c r="A4" i="8"/>
  <c r="A3" i="8"/>
  <c r="D6" i="8"/>
  <c r="D5" i="8"/>
  <c r="D4" i="8"/>
  <c r="D3" i="8"/>
  <c r="F6" i="8"/>
  <c r="F5" i="8"/>
  <c r="F4" i="8"/>
  <c r="F3" i="8"/>
  <c r="E6" i="8"/>
  <c r="C6" i="8"/>
  <c r="E5" i="8"/>
  <c r="C5" i="8"/>
  <c r="E4" i="8"/>
  <c r="C4" i="8"/>
  <c r="E3" i="8"/>
  <c r="C3" i="8"/>
  <c r="B6" i="8"/>
  <c r="B5" i="8"/>
  <c r="B4" i="8"/>
  <c r="B3" i="8"/>
</calcChain>
</file>

<file path=xl/sharedStrings.xml><?xml version="1.0" encoding="utf-8"?>
<sst xmlns="http://schemas.openxmlformats.org/spreadsheetml/2006/main" count="785" uniqueCount="324">
  <si>
    <t>Company Directory</t>
  </si>
  <si>
    <t>Ext</t>
  </si>
  <si>
    <t>Name / Office</t>
  </si>
  <si>
    <t>Personal Tel</t>
  </si>
  <si>
    <t>Direct Tel</t>
  </si>
  <si>
    <t>Email</t>
  </si>
  <si>
    <t>Location Code</t>
  </si>
  <si>
    <t>HO</t>
  </si>
  <si>
    <t>LRI Head Office</t>
  </si>
  <si>
    <t>8 Steelcase Road West, Markham, ON, L3R 1B2</t>
  </si>
  <si>
    <t>T: (905) 474-0590</t>
  </si>
  <si>
    <t>Stephen Wong</t>
  </si>
  <si>
    <t>Chairman</t>
  </si>
  <si>
    <t>---</t>
  </si>
  <si>
    <t>William Lau</t>
  </si>
  <si>
    <t>President</t>
  </si>
  <si>
    <t>(647) 918-9886</t>
  </si>
  <si>
    <t>Kelvin Wong</t>
  </si>
  <si>
    <t>(416) 567-7882</t>
  </si>
  <si>
    <t>(905) 474-0500</t>
  </si>
  <si>
    <t>David Wong</t>
  </si>
  <si>
    <t>Vice President</t>
  </si>
  <si>
    <t>(416) 230-8866</t>
  </si>
  <si>
    <t>Benjamin Wong</t>
  </si>
  <si>
    <t>(416) 399-2311</t>
  </si>
  <si>
    <t>(905) 752-3521</t>
  </si>
  <si>
    <t>benw@livingproperties.com</t>
  </si>
  <si>
    <t>Peter Woo</t>
  </si>
  <si>
    <t>(416) 569-6569</t>
  </si>
  <si>
    <t>(905) 752-3502</t>
  </si>
  <si>
    <t>(905) 752-3504</t>
  </si>
  <si>
    <t>Winnie Tsui</t>
  </si>
  <si>
    <t>Senior Manager, Accounting &amp; Operations</t>
  </si>
  <si>
    <t xml:space="preserve">(905) 752-3514 </t>
  </si>
  <si>
    <t>winniet@livingproperties.com</t>
  </si>
  <si>
    <t>Executive Assistant</t>
  </si>
  <si>
    <t>(905) 752-3506</t>
  </si>
  <si>
    <t>Deal Administrator</t>
  </si>
  <si>
    <t>(905) 752-3508</t>
  </si>
  <si>
    <t>Luvie Chao</t>
  </si>
  <si>
    <t>Senior Deal Administrator</t>
  </si>
  <si>
    <t>(905) 752-3507</t>
  </si>
  <si>
    <t>Maria Leung</t>
  </si>
  <si>
    <t>Simon Chan</t>
  </si>
  <si>
    <t>Operations Assistant</t>
  </si>
  <si>
    <t>(905) 752-3519</t>
  </si>
  <si>
    <t>Nelson Lau</t>
  </si>
  <si>
    <t>(647) 701-8828</t>
  </si>
  <si>
    <t>(905) 752-3522</t>
  </si>
  <si>
    <t>IT Support</t>
  </si>
  <si>
    <t>Information Technology Technical Support</t>
  </si>
  <si>
    <t>NM</t>
  </si>
  <si>
    <t>North Markham Office</t>
  </si>
  <si>
    <t>735 Markland St, Unit 12&amp;13, Markham, ON, L6C 0G6</t>
  </si>
  <si>
    <t>T: (905) 888-8188</t>
  </si>
  <si>
    <t>Chris Tam</t>
  </si>
  <si>
    <t>Manager North Markham Branch</t>
  </si>
  <si>
    <t>(416) 505-6625</t>
  </si>
  <si>
    <t>(905) 888-8188</t>
  </si>
  <si>
    <t>Grace Chui</t>
  </si>
  <si>
    <t>Secretary</t>
  </si>
  <si>
    <t>Wendy Chung</t>
  </si>
  <si>
    <t>NY</t>
  </si>
  <si>
    <t>T: (416) 223-8833</t>
  </si>
  <si>
    <t>Andrew Chiang</t>
  </si>
  <si>
    <t>(647) 704-2388</t>
  </si>
  <si>
    <t>(416) 223-8833</t>
  </si>
  <si>
    <t>MS</t>
  </si>
  <si>
    <t>Mississauga Office</t>
  </si>
  <si>
    <t>T: (905) 896-0002</t>
  </si>
  <si>
    <t>Manager Mississauga Branch</t>
  </si>
  <si>
    <t>(905) 896-0002</t>
  </si>
  <si>
    <t>WB</t>
  </si>
  <si>
    <t>Woodbine Office</t>
  </si>
  <si>
    <t>T: (905) 474-0500</t>
  </si>
  <si>
    <t>Manager Woobine Branch</t>
  </si>
  <si>
    <t>Anita Huang</t>
  </si>
  <si>
    <t>Ken Cheung</t>
  </si>
  <si>
    <t>YB</t>
  </si>
  <si>
    <t>Savanna Joo</t>
  </si>
  <si>
    <t>IC</t>
  </si>
  <si>
    <t>I.C.&amp;I. Office</t>
  </si>
  <si>
    <t>8 Steelcase Road West, Unit C, Markham, ON, L3R 1B2</t>
  </si>
  <si>
    <t>T: (905) 474-1772</t>
  </si>
  <si>
    <t>Manager I.C.&amp;I. Branch</t>
  </si>
  <si>
    <t>HOLPI</t>
  </si>
  <si>
    <t>LPI Head Office</t>
  </si>
  <si>
    <t>T: (905) 477-2090</t>
  </si>
  <si>
    <t>Director of Operations</t>
  </si>
  <si>
    <t>(647) 286-0145</t>
  </si>
  <si>
    <t>Stanley Chow</t>
  </si>
  <si>
    <t>Property Manager</t>
  </si>
  <si>
    <t>(416) 277-6098</t>
  </si>
  <si>
    <t>(905) 752-3512</t>
  </si>
  <si>
    <t>stanleyc@livingproperties.com</t>
  </si>
  <si>
    <t>(905) 477-2090</t>
  </si>
  <si>
    <t>Richard Baksh</t>
  </si>
  <si>
    <t>(647) 967-0088</t>
  </si>
  <si>
    <t>(905) 258-0632</t>
  </si>
  <si>
    <t>richardb@livingproperties.com</t>
  </si>
  <si>
    <t>Frederick Tang</t>
  </si>
  <si>
    <t>(416) 618-5898</t>
  </si>
  <si>
    <t>fredt@livingproperties.com</t>
  </si>
  <si>
    <t>Simon Li</t>
  </si>
  <si>
    <t>simonl@livingproperties.com</t>
  </si>
  <si>
    <t>Vivian Lum</t>
  </si>
  <si>
    <t>Accounting Clerk</t>
  </si>
  <si>
    <t>vivianl@livingproperties.com</t>
  </si>
  <si>
    <t>Accounts Receivable Clerk</t>
  </si>
  <si>
    <t>Administrative Assistant</t>
  </si>
  <si>
    <t>Loretta Leung</t>
  </si>
  <si>
    <t>lorettal@livingproperties.com</t>
  </si>
  <si>
    <t>mattheww@livingproperties.com</t>
  </si>
  <si>
    <t>CT</t>
  </si>
  <si>
    <t>Centro Towers Office</t>
  </si>
  <si>
    <t>25 Town Centre Crt, Scarborough, ON, M1P 0B4</t>
  </si>
  <si>
    <t>T: (416) 290-1242</t>
  </si>
  <si>
    <t>Henry Fu</t>
  </si>
  <si>
    <t>(416) 278-2953</t>
  </si>
  <si>
    <t>(416) 290-1242</t>
  </si>
  <si>
    <t>henry@centrotowers.com</t>
  </si>
  <si>
    <t>Sophia Yip</t>
  </si>
  <si>
    <t>Property Administrator</t>
  </si>
  <si>
    <t>sophia@centrotowers.com</t>
  </si>
  <si>
    <t>KQ</t>
  </si>
  <si>
    <t>IHMG</t>
  </si>
  <si>
    <t>IHMG Office</t>
  </si>
  <si>
    <t>T: (905) 475-6000</t>
  </si>
  <si>
    <t>info@ihmg.ca</t>
  </si>
  <si>
    <t>IHMGRI Office</t>
  </si>
  <si>
    <t>8 Steelcase Road West, Unit E, Markham, ON, L3R 1B2</t>
  </si>
  <si>
    <t>T: (905) 489-8989</t>
  </si>
  <si>
    <t>realestate@ihmg.ca</t>
  </si>
  <si>
    <t>(905) 489-0186</t>
  </si>
  <si>
    <t>Lily Hou</t>
  </si>
  <si>
    <t>(647) 774-8994</t>
  </si>
  <si>
    <t>lily@ihmg.ca</t>
  </si>
  <si>
    <t>Eglinton</t>
  </si>
  <si>
    <t>EQ1</t>
  </si>
  <si>
    <t>EQ1 Office</t>
  </si>
  <si>
    <t>70 Town Centre Court, Scarborough, ON, M1P 0B2</t>
  </si>
  <si>
    <t xml:space="preserve">T: (416) 279-0603 </t>
  </si>
  <si>
    <t xml:space="preserve">(416) 279-0603 </t>
  </si>
  <si>
    <t>Lunch Room</t>
  </si>
  <si>
    <t>Markham Room</t>
  </si>
  <si>
    <t>Mississauga Room</t>
  </si>
  <si>
    <t>The Living Room</t>
  </si>
  <si>
    <t>Toronto Room</t>
  </si>
  <si>
    <t>York Room</t>
  </si>
  <si>
    <t>Title</t>
  </si>
  <si>
    <t>williamlau@livinggroupinc.com</t>
  </si>
  <si>
    <t>pwoo@livinggroupinc.com</t>
  </si>
  <si>
    <t>1177 Central Parkway West, Golden Square, Unit 32, Mississauga, ON, L5C 4P3</t>
  </si>
  <si>
    <t>KS</t>
  </si>
  <si>
    <t>(905) 752-3176</t>
  </si>
  <si>
    <t>Matthew Wong</t>
  </si>
  <si>
    <t>(905) 752-3518</t>
  </si>
  <si>
    <t>(905) 752-3523</t>
  </si>
  <si>
    <t>Office Header</t>
  </si>
  <si>
    <t>stephenwong@livinggroupinc.com</t>
  </si>
  <si>
    <t>Staff</t>
  </si>
  <si>
    <t>Executive Assistant to Chairman</t>
  </si>
  <si>
    <t>(905) 752-3514</t>
  </si>
  <si>
    <t>Accounting Bookkeeper</t>
  </si>
  <si>
    <t>Head Secretary</t>
  </si>
  <si>
    <t>DisplayOrder</t>
  </si>
  <si>
    <t>OfficeCode</t>
  </si>
  <si>
    <t>OfficeName</t>
  </si>
  <si>
    <t>DisplayName</t>
  </si>
  <si>
    <t>PersonalTel</t>
  </si>
  <si>
    <t>DirectTel</t>
  </si>
  <si>
    <t>LRI HO</t>
  </si>
  <si>
    <t>LRI NM</t>
  </si>
  <si>
    <t>LRI MS</t>
  </si>
  <si>
    <t>(416) 523-1888</t>
  </si>
  <si>
    <t>LRI WB</t>
  </si>
  <si>
    <t>ContactType</t>
  </si>
  <si>
    <t>ICI</t>
  </si>
  <si>
    <t>LPI HO</t>
  </si>
  <si>
    <t>RHO</t>
  </si>
  <si>
    <t>PHO</t>
  </si>
  <si>
    <t>Property Accountant</t>
  </si>
  <si>
    <t>Handyman</t>
  </si>
  <si>
    <t>LPI CT</t>
  </si>
  <si>
    <t>LPI KS</t>
  </si>
  <si>
    <t>LPI EQ1</t>
  </si>
  <si>
    <t>Eddie Tang</t>
  </si>
  <si>
    <t>Financial Controller</t>
  </si>
  <si>
    <t>(416) 723-8329</t>
  </si>
  <si>
    <t>eddie@ihmg.ca</t>
  </si>
  <si>
    <t>Senior Accounting Analyst &amp; Operations Support</t>
  </si>
  <si>
    <t>Meeting Room</t>
  </si>
  <si>
    <t>SQL Statement</t>
  </si>
  <si>
    <t>-</t>
  </si>
  <si>
    <t>title / Address</t>
  </si>
  <si>
    <t>--</t>
  </si>
  <si>
    <t>(905) 752-3500</t>
  </si>
  <si>
    <t>(905) 752-3511</t>
  </si>
  <si>
    <t>Alan Cheung</t>
  </si>
  <si>
    <t>(416) 669-0325</t>
  </si>
  <si>
    <t>Director of Business Development</t>
  </si>
  <si>
    <t>Office_id</t>
  </si>
  <si>
    <t>Kelly Wan</t>
  </si>
  <si>
    <t xml:space="preserve">Digital Artist &amp; Content Creator </t>
  </si>
  <si>
    <t>Jessica Lee</t>
  </si>
  <si>
    <t>jessical@livingproperties.com</t>
  </si>
  <si>
    <t>Ken Kam</t>
  </si>
  <si>
    <t>kenk@livingproperties.com</t>
  </si>
  <si>
    <t>Ben Wong</t>
  </si>
  <si>
    <t>Nicole Leung</t>
  </si>
  <si>
    <t>nicolel@livingproperties.com</t>
  </si>
  <si>
    <t>(647) 204-4455</t>
  </si>
  <si>
    <t xml:space="preserve">Administration Officer </t>
  </si>
  <si>
    <t>AT</t>
  </si>
  <si>
    <t>LPI AT</t>
  </si>
  <si>
    <t xml:space="preserve">optima2@livingproperties.com </t>
  </si>
  <si>
    <t>Alton Tower Office</t>
  </si>
  <si>
    <t>160 Alton Towers Cir, Toronto, ON, M1V 4X8</t>
  </si>
  <si>
    <t>rockychow@livinggroupinc.com</t>
  </si>
  <si>
    <t>Rocky Chow</t>
  </si>
  <si>
    <t>(647) 818-1818</t>
  </si>
  <si>
    <t>2301 Yonge Street, Toronto, ON, M4P 2C6</t>
  </si>
  <si>
    <t>eq1@livingproperties.com</t>
  </si>
  <si>
    <t>(647) 286-0147</t>
  </si>
  <si>
    <t>Kiran Li</t>
  </si>
  <si>
    <t>Assistant to the Broker of Record</t>
  </si>
  <si>
    <t>Ming Ip</t>
  </si>
  <si>
    <t>(437)-533-1208</t>
  </si>
  <si>
    <t>Dan Flomen</t>
  </si>
  <si>
    <t>Yonge &amp; Eglinton Office</t>
  </si>
  <si>
    <t>LRI YE</t>
  </si>
  <si>
    <t>Lydia Ng</t>
  </si>
  <si>
    <t>Christie Ip</t>
  </si>
  <si>
    <t>T: (437)-533-1208</t>
  </si>
  <si>
    <t>Rebecca Lau</t>
  </si>
  <si>
    <t>rebeccal@livingproperties.com</t>
  </si>
  <si>
    <t>eq1manager@livingproperties.com</t>
  </si>
  <si>
    <t>kelvin@livingrealtykw.com</t>
  </si>
  <si>
    <t>Broker of Record, Operating Principal</t>
  </si>
  <si>
    <t>President &amp; C.L.O.</t>
  </si>
  <si>
    <t>Vice Presidnet, New Homes, Broker</t>
  </si>
  <si>
    <t>Market Center Administrator, Executive Group Controller</t>
  </si>
  <si>
    <t>davidwong@livingrealtykw.com</t>
  </si>
  <si>
    <t>alancheung@livingrealtykw.com</t>
  </si>
  <si>
    <t>wendychung@livingrealtykw.com</t>
  </si>
  <si>
    <t>benwong@livingrealtykw.com</t>
  </si>
  <si>
    <t>luvie@livingrealtykw.com</t>
  </si>
  <si>
    <t>marialeung@livingrealtykw.com</t>
  </si>
  <si>
    <t>kencheung@livingrealtykw.com</t>
  </si>
  <si>
    <t>simonchan@livingrealtykw.com</t>
  </si>
  <si>
    <t>kellywan@livingrealtykw.com</t>
  </si>
  <si>
    <t>nelsonlau@livingrealtykw.com</t>
  </si>
  <si>
    <t>itsupport@livingrealtykw.com</t>
  </si>
  <si>
    <t>northmarkham@livingrealtykw.com</t>
  </si>
  <si>
    <t>christam@livingrealtykw.com</t>
  </si>
  <si>
    <t>gracemschui@livingrealtykw.com</t>
  </si>
  <si>
    <t>andrewchiang@livingrealtykw.com</t>
  </si>
  <si>
    <t>mississauga@livingrealtykw.com</t>
  </si>
  <si>
    <t>woodbine@livingrealtykw.com</t>
  </si>
  <si>
    <t>anitahuang@livingrealtykw.com</t>
  </si>
  <si>
    <t>lydiang@livingrealtykw.com</t>
  </si>
  <si>
    <t>savannajoo@livingrealtykw.com</t>
  </si>
  <si>
    <t>kiranli@livingrealtykw.com</t>
  </si>
  <si>
    <t>Broker of Record, Living Realty</t>
  </si>
  <si>
    <t>benjaminwongici@livingrealtykw.com</t>
  </si>
  <si>
    <t>ye@livingrealtykw.com</t>
  </si>
  <si>
    <t>EQ2 Office</t>
  </si>
  <si>
    <t>Aaron Ma</t>
  </si>
  <si>
    <t>60 Town Centre Court, Scarborough, ON, M1P 0B1</t>
  </si>
  <si>
    <t xml:space="preserve">T: (416) 279-0591 </t>
  </si>
  <si>
    <t>(416) 279-0591</t>
  </si>
  <si>
    <t>(416) 684-2236</t>
  </si>
  <si>
    <t>eq2manager@livingproperties.com</t>
  </si>
  <si>
    <t>Connie Cheung</t>
  </si>
  <si>
    <t>conniecheung@livingrealtykw.com</t>
  </si>
  <si>
    <t xml:space="preserve">Accounting Clerk </t>
  </si>
  <si>
    <t>Senior Accountant</t>
  </si>
  <si>
    <t>Katie Wong</t>
  </si>
  <si>
    <t>katiewong@livingrealtykw.com</t>
  </si>
  <si>
    <t>Kelvin Chan</t>
  </si>
  <si>
    <t>kelvinc@livingproperties.com</t>
  </si>
  <si>
    <t>Raymond Chin</t>
  </si>
  <si>
    <t>raymondc@livingproperties.com</t>
  </si>
  <si>
    <t>(437) 331-6038</t>
  </si>
  <si>
    <t>AgentList</t>
  </si>
  <si>
    <t>Y</t>
  </si>
  <si>
    <t>eddietang@livingrealtykw.com</t>
  </si>
  <si>
    <t>Education and Training Co-ordinator</t>
  </si>
  <si>
    <t xml:space="preserve">Tony Prochilo </t>
  </si>
  <si>
    <t>Manager Yonge &amp; Eglinton</t>
  </si>
  <si>
    <t>(416) 576-6312</t>
  </si>
  <si>
    <t>tonyprochilo@livingrealtykw.com</t>
  </si>
  <si>
    <t>Thomas Lee</t>
  </si>
  <si>
    <t>Thomasl@livingproperties.com</t>
  </si>
  <si>
    <t>(416) 567-4274</t>
  </si>
  <si>
    <t xml:space="preserve">Security Desk </t>
  </si>
  <si>
    <t xml:space="preserve">Alton Tower Security Desk </t>
  </si>
  <si>
    <t>(416) 754-3131</t>
  </si>
  <si>
    <t xml:space="preserve">Centro Security Desk </t>
  </si>
  <si>
    <t>(416) 296-0099</t>
  </si>
  <si>
    <t>EQ2</t>
  </si>
  <si>
    <t>LPI EQ2</t>
  </si>
  <si>
    <t>(416) 279-1894</t>
  </si>
  <si>
    <t>(416) 279-1211</t>
  </si>
  <si>
    <t xml:space="preserve">EQ1 Security Desk </t>
  </si>
  <si>
    <t xml:space="preserve">EQ2 Security Desk </t>
  </si>
  <si>
    <t>Team Leader</t>
  </si>
  <si>
    <t>dan@livingrealtykw.com</t>
  </si>
  <si>
    <t>(905) 489-8989</t>
  </si>
  <si>
    <t>Joanna Xie</t>
  </si>
  <si>
    <t>Agent Services Coordinator</t>
  </si>
  <si>
    <t>joannaxie@livingrealtykw.com</t>
  </si>
  <si>
    <t>Cassandra Pacitto</t>
  </si>
  <si>
    <t>cassandrapacitto@livingrealtykw.com</t>
  </si>
  <si>
    <t>Riley Lam</t>
  </si>
  <si>
    <t>rileylam@livingrealtykw.com</t>
  </si>
  <si>
    <t>Stanley Wu</t>
  </si>
  <si>
    <t>stanleyw@livingproperties.com</t>
  </si>
  <si>
    <t>Update Date: Apr 28, 2026</t>
  </si>
  <si>
    <t>Juliana Monize</t>
  </si>
  <si>
    <t>julianamonize@livingrealtykw.com</t>
  </si>
  <si>
    <t>Gus B</t>
  </si>
  <si>
    <t>gusb@livcontrustion.ca</t>
  </si>
  <si>
    <t>Senior Technical Specialist &amp; System Architech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</si>
</sst>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0" xfId="1"/>
    <xf numFmtId="3" fontId="0" fillId="0" borderId="0" xfId="0" applyNumberFormat="1"/>
    <xf numFmtId="0" fontId="0" fillId="0" borderId="0" xfId="0" quotePrefix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22" fontId="5" fillId="0" borderId="0" xfId="0" applyNumberFormat="1" applyFont="1" applyAlignment="1">
      <alignment horizontal="right"/>
    </xf>
    <xf numFmtId="0" fontId="4" fillId="0" borderId="0" xfId="1" quotePrefix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35">
    <dxf>
      <font>
        <b/>
        <i val="0"/>
      </font>
      <fill>
        <patternFill>
          <bgColor theme="0" tint="-0.24994659260841701"/>
        </patternFill>
      </fill>
      <border>
        <top style="dashed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dashed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numFmt numFmtId="0" formatCode="General"/>
    </dxf>
    <dxf>
      <numFmt numFmtId="3" formatCode="#,##0"/>
    </dxf>
    <dxf>
      <font>
        <strike val="0"/>
      </font>
    </dxf>
  </dxfs>
  <tableStyles count="1" defaultTableStyle="TableStyleMedium2" defaultPivotStyle="PivotStyleLight16">
    <tableStyle name="PivotTable Style 1" table="0" count="1" xr9:uid="{A91924B4-117F-4240-9216-122064769C91}">
      <tableStyleElement type="wholeTabl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18C99-1B03-459F-9F00-A5922F0E9AD8}" name="Table2" displayName="Table2" ref="A1:M85" totalsRowShown="0">
  <autoFilter ref="A1:M85" xr:uid="{64C18C99-1B03-459F-9F00-A5922F0E9AD8}"/>
  <tableColumns count="13">
    <tableColumn id="1" xr3:uid="{84EE687C-25F0-49A0-A543-1CDE4F771B0E}" name="DisplayOrder" dataDxfId="33"/>
    <tableColumn id="2" xr3:uid="{289F04FD-E089-4D5D-A4E6-C7BA80BB6642}" name="OfficeCode"/>
    <tableColumn id="3" xr3:uid="{25360230-41D2-49C0-863F-01A75C55CA31}" name="OfficeName"/>
    <tableColumn id="12" xr3:uid="{4DA6D7DD-3FB1-4CF0-9400-E078EB5E1026}" name="Office_id"/>
    <tableColumn id="4" xr3:uid="{D2279134-41AC-49EE-8E47-7052F3BC25A3}" name="DisplayName"/>
    <tableColumn id="14" xr3:uid="{86573A8E-B769-4DC4-B753-1A03EDE787C0}" name="AgentList"/>
    <tableColumn id="5" xr3:uid="{40A00406-6A9F-4792-BA78-E10770182804}" name="Title"/>
    <tableColumn id="6" xr3:uid="{702EDC09-BB6B-4D8C-9CAE-EAB48E012B85}" name="Ext"/>
    <tableColumn id="7" xr3:uid="{4E1DD271-C467-4BF4-B112-B22E0F512B9E}" name="PersonalTel"/>
    <tableColumn id="8" xr3:uid="{DD878D71-9616-4176-AA2F-CE1AAFC0B9D9}" name="DirectTel"/>
    <tableColumn id="9" xr3:uid="{43381282-03EA-41FF-A13A-199935807DD6}" name="Email"/>
    <tableColumn id="10" xr3:uid="{8D0A586B-AFC2-4D0B-B8CF-B478462770B5}" name="ContactType"/>
    <tableColumn id="11" xr3:uid="{740B5A47-D712-4700-9A47-9D351771C23A}" name="SQL Statement" dataDxfId="32">
      <calculatedColumnFormula>"INSERT INTO `directory` (`order`, `office`, `displayname`, `title`, `ext`, `personalTel`, `directTel`, `email`, `contacttype`)  VALUES ('" &amp; A2 &amp; "','" &amp; D2 &amp; "','" &amp; E2 &amp; "','" &amp; G2 &amp; "','" &amp; H2 &amp; "','" &amp; I2 &amp;  "','" &amp; J2 &amp;  "','" &amp; K2 &amp;  "','" &amp; L2 &amp; "');"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nelsonlau@livingrealtykw.com" TargetMode="External"/><Relationship Id="rId18" Type="http://schemas.openxmlformats.org/officeDocument/2006/relationships/hyperlink" Target="mailto:rebeccal@livingproperties.com" TargetMode="External"/><Relationship Id="rId26" Type="http://schemas.openxmlformats.org/officeDocument/2006/relationships/hyperlink" Target="mailto:Thomasl@livingproperties.com" TargetMode="External"/><Relationship Id="rId39" Type="http://schemas.openxmlformats.org/officeDocument/2006/relationships/hyperlink" Target="mailto:anitahuang@livingrealtykw.com" TargetMode="External"/><Relationship Id="rId21" Type="http://schemas.openxmlformats.org/officeDocument/2006/relationships/hyperlink" Target="mailto:optima2@livingproperties.com" TargetMode="External"/><Relationship Id="rId34" Type="http://schemas.openxmlformats.org/officeDocument/2006/relationships/hyperlink" Target="mailto:itsupport@livingrealtykw.com" TargetMode="External"/><Relationship Id="rId42" Type="http://schemas.openxmlformats.org/officeDocument/2006/relationships/hyperlink" Target="mailto:davidwong@livingrealtykw.com" TargetMode="External"/><Relationship Id="rId47" Type="http://schemas.openxmlformats.org/officeDocument/2006/relationships/hyperlink" Target="mailto:lydiang@livingrealtykw.com" TargetMode="External"/><Relationship Id="rId50" Type="http://schemas.openxmlformats.org/officeDocument/2006/relationships/hyperlink" Target="mailto:andrewchiang@livingrealtykw.com" TargetMode="External"/><Relationship Id="rId55" Type="http://schemas.openxmlformats.org/officeDocument/2006/relationships/hyperlink" Target="mailto:julianamonize@livingrealtykw.com" TargetMode="External"/><Relationship Id="rId7" Type="http://schemas.openxmlformats.org/officeDocument/2006/relationships/hyperlink" Target="mailto:lily@ihmg.ca" TargetMode="External"/><Relationship Id="rId2" Type="http://schemas.openxmlformats.org/officeDocument/2006/relationships/hyperlink" Target="mailto:stephenwong@livinggroupinc.com" TargetMode="External"/><Relationship Id="rId16" Type="http://schemas.openxmlformats.org/officeDocument/2006/relationships/hyperlink" Target="mailto:jessical@livingproperties.com" TargetMode="External"/><Relationship Id="rId29" Type="http://schemas.openxmlformats.org/officeDocument/2006/relationships/hyperlink" Target="mailto:wendychung@livingrealtykw.com" TargetMode="External"/><Relationship Id="rId11" Type="http://schemas.openxmlformats.org/officeDocument/2006/relationships/hyperlink" Target="mailto:gusb@livcontrustion.ca" TargetMode="External"/><Relationship Id="rId24" Type="http://schemas.openxmlformats.org/officeDocument/2006/relationships/hyperlink" Target="mailto:eq1manager@livingproperties.com" TargetMode="External"/><Relationship Id="rId32" Type="http://schemas.openxmlformats.org/officeDocument/2006/relationships/hyperlink" Target="mailto:conniecheung@livingrealtykw.com" TargetMode="External"/><Relationship Id="rId37" Type="http://schemas.openxmlformats.org/officeDocument/2006/relationships/hyperlink" Target="mailto:gracemschui@livingrealtykw.com" TargetMode="External"/><Relationship Id="rId40" Type="http://schemas.openxmlformats.org/officeDocument/2006/relationships/hyperlink" Target="mailto:kelvin@livingrealtykw.com" TargetMode="External"/><Relationship Id="rId45" Type="http://schemas.openxmlformats.org/officeDocument/2006/relationships/hyperlink" Target="mailto:ye@livingrealtykw.com" TargetMode="External"/><Relationship Id="rId53" Type="http://schemas.openxmlformats.org/officeDocument/2006/relationships/hyperlink" Target="mailto:rileylam@livingrealtykw.com" TargetMode="External"/><Relationship Id="rId5" Type="http://schemas.openxmlformats.org/officeDocument/2006/relationships/hyperlink" Target="mailto:fredt@livingproperties.com" TargetMode="External"/><Relationship Id="rId19" Type="http://schemas.openxmlformats.org/officeDocument/2006/relationships/hyperlink" Target="mailto:nicolel@livingproperties.com" TargetMode="External"/><Relationship Id="rId4" Type="http://schemas.openxmlformats.org/officeDocument/2006/relationships/hyperlink" Target="mailto:mississauga@livingrealtykw.com" TargetMode="External"/><Relationship Id="rId9" Type="http://schemas.openxmlformats.org/officeDocument/2006/relationships/hyperlink" Target="mailto:alancheung@livingrealtykw.com" TargetMode="External"/><Relationship Id="rId14" Type="http://schemas.openxmlformats.org/officeDocument/2006/relationships/hyperlink" Target="mailto:savannajoo@livingrealtykw.com" TargetMode="External"/><Relationship Id="rId22" Type="http://schemas.openxmlformats.org/officeDocument/2006/relationships/hyperlink" Target="mailto:eq1@livingproperties.com" TargetMode="External"/><Relationship Id="rId27" Type="http://schemas.openxmlformats.org/officeDocument/2006/relationships/hyperlink" Target="mailto:kelvin@livingrealtykw.com" TargetMode="External"/><Relationship Id="rId30" Type="http://schemas.openxmlformats.org/officeDocument/2006/relationships/hyperlink" Target="mailto:luvie@livingrealtykw.com" TargetMode="External"/><Relationship Id="rId35" Type="http://schemas.openxmlformats.org/officeDocument/2006/relationships/hyperlink" Target="mailto:northmarkham@livingrealtykw.com" TargetMode="External"/><Relationship Id="rId43" Type="http://schemas.openxmlformats.org/officeDocument/2006/relationships/hyperlink" Target="mailto:rockychow@livinggroupinc.com" TargetMode="External"/><Relationship Id="rId48" Type="http://schemas.openxmlformats.org/officeDocument/2006/relationships/hyperlink" Target="mailto:kelvinc@livingproperties.com" TargetMode="External"/><Relationship Id="rId56" Type="http://schemas.openxmlformats.org/officeDocument/2006/relationships/printerSettings" Target="../printerSettings/printerSettings3.bin"/><Relationship Id="rId8" Type="http://schemas.openxmlformats.org/officeDocument/2006/relationships/hyperlink" Target="mailto:realestate@ihmg.ca" TargetMode="External"/><Relationship Id="rId51" Type="http://schemas.openxmlformats.org/officeDocument/2006/relationships/hyperlink" Target="mailto:dan@livingrealtykw.com" TargetMode="External"/><Relationship Id="rId3" Type="http://schemas.openxmlformats.org/officeDocument/2006/relationships/hyperlink" Target="mailto:williamlau@livinggroupinc.com" TargetMode="External"/><Relationship Id="rId12" Type="http://schemas.openxmlformats.org/officeDocument/2006/relationships/hyperlink" Target="mailto:cassandrapacitto@livingrealtykw.com" TargetMode="External"/><Relationship Id="rId17" Type="http://schemas.openxmlformats.org/officeDocument/2006/relationships/hyperlink" Target="mailto:kencheung@livingrealtykw.com" TargetMode="External"/><Relationship Id="rId25" Type="http://schemas.openxmlformats.org/officeDocument/2006/relationships/hyperlink" Target="mailto:benjaminwongici@livingrealtykw.com" TargetMode="External"/><Relationship Id="rId33" Type="http://schemas.openxmlformats.org/officeDocument/2006/relationships/hyperlink" Target="mailto:simonchan@livingrealtykw.com" TargetMode="External"/><Relationship Id="rId38" Type="http://schemas.openxmlformats.org/officeDocument/2006/relationships/hyperlink" Target="mailto:woodbine@livingrealtykw.com" TargetMode="External"/><Relationship Id="rId46" Type="http://schemas.openxmlformats.org/officeDocument/2006/relationships/hyperlink" Target="mailto:tonyprochilo@livingrealtykw.com" TargetMode="External"/><Relationship Id="rId20" Type="http://schemas.openxmlformats.org/officeDocument/2006/relationships/hyperlink" Target="mailto:kenk@livingproperties.com" TargetMode="External"/><Relationship Id="rId41" Type="http://schemas.openxmlformats.org/officeDocument/2006/relationships/hyperlink" Target="mailto:benwong@livingrealtykw.com" TargetMode="External"/><Relationship Id="rId54" Type="http://schemas.openxmlformats.org/officeDocument/2006/relationships/hyperlink" Target="mailto:stanleyw@livingproperties.com" TargetMode="External"/><Relationship Id="rId1" Type="http://schemas.openxmlformats.org/officeDocument/2006/relationships/hyperlink" Target="mailto:woodbine@livingrealty.com" TargetMode="External"/><Relationship Id="rId6" Type="http://schemas.openxmlformats.org/officeDocument/2006/relationships/hyperlink" Target="mailto:eddie@ihmg.ca" TargetMode="External"/><Relationship Id="rId15" Type="http://schemas.openxmlformats.org/officeDocument/2006/relationships/hyperlink" Target="mailto:kellywan@livingrealtykw.com" TargetMode="External"/><Relationship Id="rId23" Type="http://schemas.openxmlformats.org/officeDocument/2006/relationships/hyperlink" Target="mailto:kenk@livingproperties.com" TargetMode="External"/><Relationship Id="rId28" Type="http://schemas.openxmlformats.org/officeDocument/2006/relationships/hyperlink" Target="mailto:eddietang@livingrealtykw.com" TargetMode="External"/><Relationship Id="rId36" Type="http://schemas.openxmlformats.org/officeDocument/2006/relationships/hyperlink" Target="mailto:christam@livingrealtykw.com" TargetMode="External"/><Relationship Id="rId49" Type="http://schemas.openxmlformats.org/officeDocument/2006/relationships/hyperlink" Target="mailto:raymondc@livingproperties.com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mailto:katiewong@livingrealtykw.com" TargetMode="External"/><Relationship Id="rId31" Type="http://schemas.openxmlformats.org/officeDocument/2006/relationships/hyperlink" Target="mailto:marialeung@livingrealtykw.com" TargetMode="External"/><Relationship Id="rId44" Type="http://schemas.openxmlformats.org/officeDocument/2006/relationships/hyperlink" Target="mailto:eq2manager@livingproperties.com" TargetMode="External"/><Relationship Id="rId52" Type="http://schemas.openxmlformats.org/officeDocument/2006/relationships/hyperlink" Target="mailto:joannaxie@livingrealtyk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5137-54D1-4429-A0F8-18538EA6A8C2}">
  <sheetPr>
    <pageSetUpPr fitToPage="1"/>
  </sheetPr>
  <dimension ref="A1:L364"/>
  <sheetViews>
    <sheetView showGridLines="0" tabSelected="1" topLeftCell="A26" zoomScale="96" zoomScaleNormal="96" workbookViewId="0">
      <selection activeCell="F61" sqref="F61"/>
    </sheetView>
  </sheetViews>
  <sheetFormatPr defaultColWidth="8.6640625" defaultRowHeight="13.8" x14ac:dyDescent="0.3"/>
  <cols>
    <col min="1" max="1" width="4.44140625" style="8" customWidth="1"/>
    <col min="2" max="2" width="23.109375" style="7" customWidth="1"/>
    <col min="3" max="3" width="67.6640625" style="7" customWidth="1"/>
    <col min="4" max="4" width="13.44140625" style="7" customWidth="1"/>
    <col min="5" max="5" width="15.33203125" style="7" customWidth="1"/>
    <col min="6" max="6" width="32.109375" style="7" customWidth="1"/>
    <col min="7" max="7" width="0.88671875" style="7" customWidth="1"/>
    <col min="8" max="8" width="16.109375" style="7" customWidth="1"/>
    <col min="9" max="9" width="5.33203125" style="7" customWidth="1"/>
    <col min="10" max="51" width="15.6640625" style="7" bestFit="1" customWidth="1"/>
    <col min="52" max="52" width="10.6640625" style="7" bestFit="1" customWidth="1"/>
    <col min="53" max="16384" width="8.6640625" style="7"/>
  </cols>
  <sheetData>
    <row r="1" spans="1:12" ht="19.95" customHeight="1" x14ac:dyDescent="0.3">
      <c r="A1" s="2" t="s">
        <v>0</v>
      </c>
      <c r="H1" s="11"/>
      <c r="I1" s="11" t="s">
        <v>318</v>
      </c>
    </row>
    <row r="2" spans="1:12" ht="14.4" x14ac:dyDescent="0.3">
      <c r="A2" s="10" t="s">
        <v>1</v>
      </c>
      <c r="B2" s="10" t="s">
        <v>2</v>
      </c>
      <c r="C2" s="10" t="s">
        <v>194</v>
      </c>
      <c r="D2" s="10" t="s">
        <v>3</v>
      </c>
      <c r="E2" s="10" t="s">
        <v>4</v>
      </c>
      <c r="F2" s="10" t="s">
        <v>5</v>
      </c>
      <c r="G2"/>
      <c r="H2" s="10" t="s">
        <v>191</v>
      </c>
      <c r="I2" s="10" t="s">
        <v>1</v>
      </c>
      <c r="J2"/>
      <c r="K2"/>
      <c r="L2"/>
    </row>
    <row r="3" spans="1:12" ht="14.4" x14ac:dyDescent="0.3">
      <c r="A3" s="9" t="str">
        <f>IF(LEN(ContactData!H2)&lt;3,"",ContactData!H2)</f>
        <v/>
      </c>
      <c r="B3" s="3" t="str">
        <f>ContactData!E2</f>
        <v>LRI Head Office</v>
      </c>
      <c r="C3" s="3" t="str">
        <f>ContactData!G2</f>
        <v>8 Steelcase Road West, Markham, ON, L3R 1B2</v>
      </c>
      <c r="D3" s="9" t="str">
        <f>IF(LEN(ContactData!I2)&lt;3,"",ContactData!I2)</f>
        <v/>
      </c>
      <c r="E3" s="3" t="str">
        <f>ContactData!J2</f>
        <v>T: (905) 474-0590</v>
      </c>
      <c r="F3" s="9" t="str">
        <f>IF(LEN(ContactData!K2)&lt;3,"",ContactData!K2)</f>
        <v/>
      </c>
      <c r="G3"/>
      <c r="H3" t="str">
        <f>ContactData!E80</f>
        <v>Lunch Room</v>
      </c>
      <c r="I3">
        <f>ContactData!H80</f>
        <v>541</v>
      </c>
      <c r="J3"/>
      <c r="K3"/>
      <c r="L3"/>
    </row>
    <row r="4" spans="1:12" ht="14.4" x14ac:dyDescent="0.3">
      <c r="A4" s="9">
        <f>IF(LEN(ContactData!H3)&lt;3,"",ContactData!H3)</f>
        <v>500</v>
      </c>
      <c r="B4" s="3" t="str">
        <f>ContactData!E3</f>
        <v>Stephen Wong</v>
      </c>
      <c r="C4" s="3" t="str">
        <f>ContactData!G3</f>
        <v>Chairman</v>
      </c>
      <c r="D4" s="9" t="str">
        <f>IF(LEN(ContactData!I3)&lt;3,"",ContactData!I3)</f>
        <v>---</v>
      </c>
      <c r="E4" s="3" t="str">
        <f>ContactData!J3</f>
        <v>(905) 752-3500</v>
      </c>
      <c r="F4" s="3" t="str">
        <f>IF(LEN(ContactData!K3)&lt;3,"",ContactData!K3)</f>
        <v>stephenwong@livinggroupinc.com</v>
      </c>
      <c r="G4"/>
      <c r="H4" t="str">
        <f>ContactData!E81</f>
        <v>Markham Room</v>
      </c>
      <c r="I4">
        <f>ContactData!H81</f>
        <v>250</v>
      </c>
      <c r="J4"/>
      <c r="K4"/>
      <c r="L4"/>
    </row>
    <row r="5" spans="1:12" ht="14.4" x14ac:dyDescent="0.3">
      <c r="A5" s="9">
        <f>IF(LEN(ContactData!H4)&lt;3,"",ContactData!H4)</f>
        <v>511</v>
      </c>
      <c r="B5" s="3" t="str">
        <f>ContactData!E4</f>
        <v>William Lau</v>
      </c>
      <c r="C5" s="3" t="str">
        <f>ContactData!G4</f>
        <v>President</v>
      </c>
      <c r="D5" s="9" t="str">
        <f>IF(LEN(ContactData!I4)&lt;3,"",ContactData!I4)</f>
        <v>(647) 918-9886</v>
      </c>
      <c r="E5" s="3" t="str">
        <f>ContactData!J4</f>
        <v>(905) 752-3511</v>
      </c>
      <c r="F5" s="3" t="str">
        <f>IF(LEN(ContactData!K4)&lt;3,"",ContactData!K4)</f>
        <v>williamlau@livinggroupinc.com</v>
      </c>
      <c r="G5"/>
      <c r="H5" t="str">
        <f>ContactData!E82</f>
        <v>Mississauga Room</v>
      </c>
      <c r="I5">
        <f>ContactData!H82</f>
        <v>226</v>
      </c>
      <c r="J5"/>
      <c r="K5"/>
      <c r="L5"/>
    </row>
    <row r="6" spans="1:12" ht="14.4" x14ac:dyDescent="0.3">
      <c r="A6" s="9">
        <f>IF(LEN(ContactData!H5)&lt;3,"",ContactData!H5)</f>
        <v>228</v>
      </c>
      <c r="B6" s="3" t="str">
        <f>ContactData!E5</f>
        <v>Kelvin Wong</v>
      </c>
      <c r="C6" s="3" t="str">
        <f>ContactData!G5</f>
        <v>Broker of Record, Operating Principal</v>
      </c>
      <c r="D6" s="9" t="str">
        <f>IF(LEN(ContactData!I5)&lt;3,"",ContactData!I5)</f>
        <v>(416) 567-7882</v>
      </c>
      <c r="E6" s="3" t="str">
        <f>ContactData!J5</f>
        <v>---</v>
      </c>
      <c r="F6" s="3" t="str">
        <f>IF(LEN(ContactData!K5)&lt;3,"",ContactData!K5)</f>
        <v>kelvin@livingrealtykw.com</v>
      </c>
      <c r="G6"/>
      <c r="H6" t="str">
        <f>ContactData!E83</f>
        <v>The Living Room</v>
      </c>
      <c r="I6">
        <f>ContactData!H83</f>
        <v>288</v>
      </c>
      <c r="J6"/>
      <c r="K6"/>
      <c r="L6"/>
    </row>
    <row r="7" spans="1:12" ht="14.4" x14ac:dyDescent="0.3">
      <c r="A7" s="9">
        <f>IF(LEN(ContactData!H6)&lt;3,"",ContactData!H6)</f>
        <v>521</v>
      </c>
      <c r="B7" s="3" t="str">
        <f>ContactData!E6</f>
        <v>Ben Wong</v>
      </c>
      <c r="C7" s="3" t="str">
        <f>ContactData!G6</f>
        <v>President &amp; C.L.O.</v>
      </c>
      <c r="D7" s="9" t="str">
        <f>IF(LEN(ContactData!I6)&lt;3,"",ContactData!I6)</f>
        <v>(416) 399-2311</v>
      </c>
      <c r="E7" s="3" t="str">
        <f>ContactData!J6</f>
        <v>(905) 752-3521</v>
      </c>
      <c r="F7" s="3" t="str">
        <f>IF(LEN(ContactData!K6)&lt;3,"",ContactData!K6)</f>
        <v>benwong@livingrealtykw.com</v>
      </c>
      <c r="G7"/>
      <c r="H7" t="str">
        <f>ContactData!E84</f>
        <v>Toronto Room</v>
      </c>
      <c r="I7">
        <f>ContactData!H84</f>
        <v>208</v>
      </c>
      <c r="J7"/>
      <c r="K7"/>
      <c r="L7"/>
    </row>
    <row r="8" spans="1:12" ht="14.4" x14ac:dyDescent="0.3">
      <c r="A8" s="9">
        <f>IF(LEN(ContactData!H7)&lt;3,"",ContactData!H7)</f>
        <v>165</v>
      </c>
      <c r="B8" s="3" t="str">
        <f>ContactData!E7</f>
        <v>David Wong</v>
      </c>
      <c r="C8" s="3" t="str">
        <f>ContactData!G7</f>
        <v>Vice President</v>
      </c>
      <c r="D8" s="9" t="str">
        <f>IF(LEN(ContactData!I7)&lt;3,"",ContactData!I7)</f>
        <v>(416) 230-8866</v>
      </c>
      <c r="E8" s="3" t="str">
        <f>ContactData!J7</f>
        <v>(905) 752-3176</v>
      </c>
      <c r="F8" s="3" t="str">
        <f>IF(LEN(ContactData!K7)&lt;3,"",ContactData!K7)</f>
        <v>davidwong@livingrealtykw.com</v>
      </c>
      <c r="G8"/>
      <c r="H8" t="str">
        <f>ContactData!E85</f>
        <v>York Room</v>
      </c>
      <c r="I8">
        <f>ContactData!H85</f>
        <v>524</v>
      </c>
      <c r="J8"/>
      <c r="K8"/>
      <c r="L8"/>
    </row>
    <row r="9" spans="1:12" ht="14.4" x14ac:dyDescent="0.3">
      <c r="A9" s="9">
        <f>IF(LEN(ContactData!H8)&lt;3,"",ContactData!H8)</f>
        <v>502</v>
      </c>
      <c r="B9" s="3" t="str">
        <f>ContactData!E8</f>
        <v>Peter Woo</v>
      </c>
      <c r="C9" s="3" t="str">
        <f>ContactData!G8</f>
        <v>Broker of Record, Living Realty</v>
      </c>
      <c r="D9" s="9" t="str">
        <f>IF(LEN(ContactData!I8)&lt;3,"",ContactData!I8)</f>
        <v>(416) 569-6569</v>
      </c>
      <c r="E9" s="3" t="str">
        <f>ContactData!J8</f>
        <v>(905) 752-3502</v>
      </c>
      <c r="F9" s="3" t="str">
        <f>IF(LEN(ContactData!K8)&lt;3,"",ContactData!K8)</f>
        <v>pwoo@livinggroupinc.com</v>
      </c>
      <c r="G9"/>
      <c r="H9"/>
      <c r="I9"/>
      <c r="J9"/>
      <c r="K9"/>
      <c r="L9"/>
    </row>
    <row r="10" spans="1:12" ht="14.4" x14ac:dyDescent="0.3">
      <c r="A10" s="9" t="str">
        <f>IF(LEN(ContactData!H9)&lt;3,"",ContactData!H9)</f>
        <v>---</v>
      </c>
      <c r="B10" s="3" t="str">
        <f>ContactData!E9</f>
        <v>Alan Cheung</v>
      </c>
      <c r="C10" s="3" t="str">
        <f>ContactData!G9</f>
        <v>Vice Presidnet, New Homes, Broker</v>
      </c>
      <c r="D10" s="9" t="str">
        <f>IF(LEN(ContactData!I9)&lt;3,"",ContactData!I9)</f>
        <v>(416) 669-0325</v>
      </c>
      <c r="E10" s="3" t="str">
        <f>ContactData!J9</f>
        <v>---</v>
      </c>
      <c r="F10" s="3" t="str">
        <f>IF(LEN(ContactData!K9)&lt;3,"",ContactData!K9)</f>
        <v>alancheung@livingrealtykw.com</v>
      </c>
      <c r="G10"/>
      <c r="H10"/>
      <c r="I10"/>
      <c r="J10"/>
      <c r="K10"/>
      <c r="L10"/>
    </row>
    <row r="11" spans="1:12" ht="14.4" x14ac:dyDescent="0.3">
      <c r="A11" s="9" t="str">
        <f>IF(LEN(ContactData!H10)&lt;3,"",ContactData!H10)</f>
        <v>---</v>
      </c>
      <c r="B11" s="3" t="str">
        <f>ContactData!E10</f>
        <v>Andrew Chiang</v>
      </c>
      <c r="C11" s="3" t="str">
        <f>ContactData!G10</f>
        <v>Education and Training Co-ordinator</v>
      </c>
      <c r="D11" s="9" t="str">
        <f>IF(LEN(ContactData!I10)&lt;3,"",ContactData!I10)</f>
        <v>(647) 704-2388</v>
      </c>
      <c r="E11" s="3" t="str">
        <f>ContactData!J10</f>
        <v>---</v>
      </c>
      <c r="F11" s="3" t="str">
        <f>IF(LEN(ContactData!K10)&lt;3,"",ContactData!K10)</f>
        <v>andrewchiang@livingrealtykw.com</v>
      </c>
      <c r="G11"/>
      <c r="H11"/>
      <c r="I11"/>
      <c r="J11"/>
      <c r="K11"/>
      <c r="L11"/>
    </row>
    <row r="12" spans="1:12" ht="14.4" x14ac:dyDescent="0.3">
      <c r="A12" s="9">
        <f>IF(LEN(ContactData!H11)&lt;3,"",ContactData!H11)</f>
        <v>509</v>
      </c>
      <c r="B12" s="3" t="str">
        <f>ContactData!E11</f>
        <v>Rocky Chow</v>
      </c>
      <c r="C12" s="3" t="str">
        <f>ContactData!G11</f>
        <v>Executive Assistant to Chairman</v>
      </c>
      <c r="D12" s="9" t="str">
        <f>IF(LEN(ContactData!I11)&lt;3,"",ContactData!I11)</f>
        <v>(647) 818-1818</v>
      </c>
      <c r="E12" s="3" t="str">
        <f>ContactData!J11</f>
        <v>---</v>
      </c>
      <c r="F12" s="3" t="str">
        <f>IF(LEN(ContactData!K11)&lt;3,"",ContactData!K11)</f>
        <v>rockychow@livinggroupinc.com</v>
      </c>
      <c r="G12"/>
      <c r="H12"/>
      <c r="I12"/>
      <c r="J12"/>
      <c r="K12"/>
      <c r="L12"/>
    </row>
    <row r="13" spans="1:12" ht="14.4" x14ac:dyDescent="0.3">
      <c r="A13" s="9">
        <f>IF(LEN(ContactData!H12)&lt;3,"",ContactData!H12)</f>
        <v>504</v>
      </c>
      <c r="B13" s="3" t="str">
        <f>ContactData!E12</f>
        <v>Eddie Tang</v>
      </c>
      <c r="C13" s="3" t="str">
        <f>ContactData!G12</f>
        <v>Market Center Administrator, Executive Group Controller</v>
      </c>
      <c r="D13" s="9" t="str">
        <f>IF(LEN(ContactData!I12)&lt;3,"",ContactData!I12)</f>
        <v>(416) 723-8329</v>
      </c>
      <c r="E13" s="3" t="str">
        <f>ContactData!J12</f>
        <v>(905) 752-3504</v>
      </c>
      <c r="F13" s="3" t="str">
        <f>IF(LEN(ContactData!K12)&lt;3,"",ContactData!K12)</f>
        <v>eddietang@livingrealtykw.com</v>
      </c>
      <c r="G13"/>
      <c r="H13"/>
      <c r="I13"/>
      <c r="J13"/>
      <c r="K13"/>
      <c r="L13"/>
    </row>
    <row r="14" spans="1:12" ht="14.4" x14ac:dyDescent="0.3">
      <c r="A14" s="9">
        <f>IF(LEN(ContactData!H13)&lt;3,"",ContactData!H13)</f>
        <v>514</v>
      </c>
      <c r="B14" s="3" t="str">
        <f>ContactData!E13</f>
        <v>Winnie Tsui</v>
      </c>
      <c r="C14" s="3" t="str">
        <f>ContactData!G13</f>
        <v>Senior Manager, Accounting &amp; Operations</v>
      </c>
      <c r="D14" s="9" t="str">
        <f>IF(LEN(ContactData!I13)&lt;3,"",ContactData!I13)</f>
        <v>(647) 286-0145</v>
      </c>
      <c r="E14" s="3" t="str">
        <f>ContactData!J13</f>
        <v>(905) 752-3514</v>
      </c>
      <c r="F14" s="3" t="str">
        <f>IF(LEN(ContactData!K13)&lt;3,"",ContactData!K13)</f>
        <v>winniet@livingproperties.com</v>
      </c>
      <c r="G14"/>
      <c r="H14"/>
      <c r="I14"/>
      <c r="J14"/>
      <c r="K14"/>
      <c r="L14"/>
    </row>
    <row r="15" spans="1:12" ht="14.4" x14ac:dyDescent="0.3">
      <c r="A15" s="9">
        <f>IF(LEN(ContactData!H14)&lt;3,"",ContactData!H14)</f>
        <v>224</v>
      </c>
      <c r="B15" s="3" t="str">
        <f>ContactData!E14</f>
        <v>Dan Flomen</v>
      </c>
      <c r="C15" s="3" t="str">
        <f>ContactData!G14</f>
        <v>Team Leader</v>
      </c>
      <c r="D15" s="9" t="str">
        <f>IF(LEN(ContactData!I14)&lt;3,"",ContactData!I14)</f>
        <v>---</v>
      </c>
      <c r="E15" s="3" t="str">
        <f>ContactData!J14</f>
        <v>(905) 489-8989</v>
      </c>
      <c r="F15" s="3" t="str">
        <f>IF(LEN(ContactData!K14)&lt;3,"",ContactData!K14)</f>
        <v>dan@livingrealtykw.com</v>
      </c>
      <c r="G15"/>
      <c r="H15"/>
      <c r="I15"/>
      <c r="J15"/>
      <c r="K15"/>
      <c r="L15"/>
    </row>
    <row r="16" spans="1:12" ht="14.4" x14ac:dyDescent="0.3">
      <c r="A16" s="9">
        <f>IF(LEN(ContactData!H15)&lt;3,"",ContactData!H15)</f>
        <v>282</v>
      </c>
      <c r="B16" s="3" t="str">
        <f>ContactData!E15</f>
        <v>Joanna Xie</v>
      </c>
      <c r="C16" s="3" t="str">
        <f>ContactData!G15</f>
        <v>Agent Services Coordinator</v>
      </c>
      <c r="D16" s="9" t="str">
        <f>IF(LEN(ContactData!I15)&lt;3,"",ContactData!I15)</f>
        <v>---</v>
      </c>
      <c r="E16" s="3" t="str">
        <f>ContactData!J15</f>
        <v>---</v>
      </c>
      <c r="F16" s="3" t="str">
        <f>IF(LEN(ContactData!K15)&lt;3,"",ContactData!K15)</f>
        <v>joannaxie@livingrealtykw.com</v>
      </c>
      <c r="G16"/>
      <c r="H16"/>
      <c r="I16"/>
      <c r="J16"/>
      <c r="K16"/>
      <c r="L16"/>
    </row>
    <row r="17" spans="1:12" ht="14.4" x14ac:dyDescent="0.3">
      <c r="A17" s="9">
        <f>IF(LEN(ContactData!H16)&lt;3,"",ContactData!H16)</f>
        <v>123</v>
      </c>
      <c r="B17" s="3" t="str">
        <f>ContactData!E16</f>
        <v>Wendy Chung</v>
      </c>
      <c r="C17" s="3" t="str">
        <f>ContactData!G16</f>
        <v xml:space="preserve">Administration Officer </v>
      </c>
      <c r="D17" s="9" t="str">
        <f>IF(LEN(ContactData!I16)&lt;3,"",ContactData!I16)</f>
        <v>---</v>
      </c>
      <c r="E17" s="3" t="str">
        <f>ContactData!J16</f>
        <v>---</v>
      </c>
      <c r="F17" s="3" t="str">
        <f>IF(LEN(ContactData!K16)&lt;3,"",ContactData!K16)</f>
        <v>wendychung@livingrealtykw.com</v>
      </c>
      <c r="G17"/>
      <c r="H17"/>
      <c r="I17"/>
      <c r="J17"/>
      <c r="K17"/>
      <c r="L17"/>
    </row>
    <row r="18" spans="1:12" ht="14.4" x14ac:dyDescent="0.3">
      <c r="A18" s="9">
        <f>IF(LEN(ContactData!H17)&lt;3,"",ContactData!H17)</f>
        <v>206</v>
      </c>
      <c r="B18" s="3" t="str">
        <f>ContactData!E17</f>
        <v>Benjamin Wong</v>
      </c>
      <c r="C18" s="3" t="str">
        <f>ContactData!G17</f>
        <v>Assistant to the Broker of Record</v>
      </c>
      <c r="D18" s="9" t="str">
        <f>IF(LEN(ContactData!I17)&lt;3,"",ContactData!I17)</f>
        <v>---</v>
      </c>
      <c r="E18" s="3" t="str">
        <f>ContactData!J17</f>
        <v>---</v>
      </c>
      <c r="F18" s="3" t="str">
        <f>IF(LEN(ContactData!K17)&lt;3,"",ContactData!K17)</f>
        <v>benjaminwongici@livingrealtykw.com</v>
      </c>
      <c r="G18"/>
      <c r="H18"/>
      <c r="I18"/>
      <c r="J18"/>
      <c r="K18"/>
      <c r="L18"/>
    </row>
    <row r="19" spans="1:12" ht="14.4" x14ac:dyDescent="0.3">
      <c r="A19" s="9">
        <f>IF(LEN(ContactData!H18)&lt;3,"",ContactData!H18)</f>
        <v>507</v>
      </c>
      <c r="B19" s="3" t="str">
        <f>ContactData!E18</f>
        <v>Luvie Chao</v>
      </c>
      <c r="C19" s="3" t="str">
        <f>ContactData!G18</f>
        <v>Senior Deal Administrator</v>
      </c>
      <c r="D19" s="9" t="str">
        <f>IF(LEN(ContactData!I18)&lt;3,"",ContactData!I18)</f>
        <v>---</v>
      </c>
      <c r="E19" s="3" t="str">
        <f>ContactData!J18</f>
        <v>(905) 752-3507</v>
      </c>
      <c r="F19" s="3" t="str">
        <f>IF(LEN(ContactData!K18)&lt;3,"",ContactData!K18)</f>
        <v>luvie@livingrealtykw.com</v>
      </c>
      <c r="G19"/>
      <c r="H19"/>
      <c r="I19"/>
      <c r="J19"/>
      <c r="K19"/>
      <c r="L19"/>
    </row>
    <row r="20" spans="1:12" ht="14.4" x14ac:dyDescent="0.3">
      <c r="A20" s="9">
        <f>IF(LEN(ContactData!H19)&lt;3,"",ContactData!H19)</f>
        <v>508</v>
      </c>
      <c r="B20" s="3" t="str">
        <f>ContactData!E19</f>
        <v>Maria Leung</v>
      </c>
      <c r="C20" s="3" t="str">
        <f>ContactData!G19</f>
        <v>Deal Administrator</v>
      </c>
      <c r="D20" s="9" t="str">
        <f>IF(LEN(ContactData!I19)&lt;3,"",ContactData!I19)</f>
        <v>---</v>
      </c>
      <c r="E20" s="3" t="str">
        <f>ContactData!J19</f>
        <v>(905) 752-3508</v>
      </c>
      <c r="F20" s="3" t="str">
        <f>IF(LEN(ContactData!K19)&lt;3,"",ContactData!K19)</f>
        <v>marialeung@livingrealtykw.com</v>
      </c>
      <c r="G20"/>
      <c r="H20"/>
      <c r="I20"/>
      <c r="J20"/>
      <c r="K20"/>
      <c r="L20"/>
    </row>
    <row r="21" spans="1:12" ht="14.4" x14ac:dyDescent="0.3">
      <c r="A21" s="9">
        <f>IF(LEN(ContactData!H20)&lt;3,"",ContactData!H20)</f>
        <v>255</v>
      </c>
      <c r="B21" s="3" t="str">
        <f>ContactData!E20</f>
        <v>Ken Cheung</v>
      </c>
      <c r="C21" s="3" t="str">
        <f>ContactData!G20</f>
        <v>Deal Administrator</v>
      </c>
      <c r="D21" s="9" t="str">
        <f>IF(LEN(ContactData!I20)&lt;3,"",ContactData!I20)</f>
        <v>---</v>
      </c>
      <c r="E21" s="3" t="str">
        <f>ContactData!J20</f>
        <v>---</v>
      </c>
      <c r="F21" s="3" t="str">
        <f>IF(LEN(ContactData!K20)&lt;3,"",ContactData!K20)</f>
        <v>kencheung@livingrealtykw.com</v>
      </c>
      <c r="G21"/>
      <c r="H21"/>
      <c r="I21"/>
      <c r="J21"/>
      <c r="K21"/>
      <c r="L21"/>
    </row>
    <row r="22" spans="1:12" ht="14.4" x14ac:dyDescent="0.3">
      <c r="A22" s="9">
        <f>IF(LEN(ContactData!H21)&lt;3,"",ContactData!H21)</f>
        <v>506</v>
      </c>
      <c r="B22" s="3" t="str">
        <f>ContactData!E21</f>
        <v>Connie Cheung</v>
      </c>
      <c r="C22" s="3" t="str">
        <f>ContactData!G21</f>
        <v>Accounting Bookkeeper</v>
      </c>
      <c r="D22" s="9" t="str">
        <f>IF(LEN(ContactData!I21)&lt;3,"",ContactData!I21)</f>
        <v>---</v>
      </c>
      <c r="E22" s="3" t="str">
        <f>ContactData!J21</f>
        <v>(905) 752-3506</v>
      </c>
      <c r="F22" s="3" t="str">
        <f>IF(LEN(ContactData!K21)&lt;3,"",ContactData!K21)</f>
        <v>conniecheung@livingrealtykw.com</v>
      </c>
      <c r="G22"/>
      <c r="H22"/>
      <c r="I22"/>
      <c r="J22"/>
      <c r="K22"/>
      <c r="L22"/>
    </row>
    <row r="23" spans="1:12" ht="14.4" x14ac:dyDescent="0.3">
      <c r="A23" s="9">
        <f>IF(LEN(ContactData!H22)&lt;3,"",ContactData!H22)</f>
        <v>519</v>
      </c>
      <c r="B23" s="3" t="str">
        <f>ContactData!E22</f>
        <v>Simon Chan</v>
      </c>
      <c r="C23" s="3" t="str">
        <f>ContactData!G22</f>
        <v>Operations Assistant</v>
      </c>
      <c r="D23" s="9" t="str">
        <f>IF(LEN(ContactData!I22)&lt;3,"",ContactData!I22)</f>
        <v>---</v>
      </c>
      <c r="E23" s="3" t="str">
        <f>ContactData!J22</f>
        <v>(905) 752-3519</v>
      </c>
      <c r="F23" s="3" t="str">
        <f>IF(LEN(ContactData!K22)&lt;3,"",ContactData!K22)</f>
        <v>simonchan@livingrealtykw.com</v>
      </c>
      <c r="G23"/>
      <c r="H23"/>
      <c r="I23"/>
      <c r="J23"/>
      <c r="K23"/>
      <c r="L23"/>
    </row>
    <row r="24" spans="1:12" ht="14.4" x14ac:dyDescent="0.3">
      <c r="A24" s="9">
        <f>IF(LEN(ContactData!H23)&lt;3,"",ContactData!H23)</f>
        <v>121</v>
      </c>
      <c r="B24" s="3" t="str">
        <f>ContactData!E23</f>
        <v>Kelly Wan</v>
      </c>
      <c r="C24" s="3" t="str">
        <f>ContactData!G23</f>
        <v xml:space="preserve">Digital Artist &amp; Content Creator </v>
      </c>
      <c r="D24" s="9" t="str">
        <f>IF(LEN(ContactData!I23)&lt;3,"",ContactData!I23)</f>
        <v>---</v>
      </c>
      <c r="E24" s="3" t="str">
        <f>ContactData!J23</f>
        <v>---</v>
      </c>
      <c r="F24" s="3" t="str">
        <f>IF(LEN(ContactData!K23)&lt;3,"",ContactData!K23)</f>
        <v>kellywan@livingrealtykw.com</v>
      </c>
      <c r="G24"/>
      <c r="H24"/>
      <c r="I24"/>
      <c r="J24"/>
      <c r="K24"/>
      <c r="L24"/>
    </row>
    <row r="25" spans="1:12" ht="14.4" x14ac:dyDescent="0.3">
      <c r="A25" s="9">
        <f>IF(LEN(ContactData!H24)&lt;3,"",ContactData!H24)</f>
        <v>522</v>
      </c>
      <c r="B25" s="3" t="str">
        <f>ContactData!E24</f>
        <v>Nelson Lau</v>
      </c>
      <c r="C25" s="3" t="str">
        <f>ContactData!G24</f>
        <v>Senior Technical Specialist &amp; System Architech</v>
      </c>
      <c r="D25" s="9" t="str">
        <f>IF(LEN(ContactData!I24)&lt;3,"",ContactData!I24)</f>
        <v>(647) 701-8828</v>
      </c>
      <c r="E25" s="3" t="str">
        <f>ContactData!J24</f>
        <v>(905) 752-3522</v>
      </c>
      <c r="F25" s="3" t="str">
        <f>IF(LEN(ContactData!K24)&lt;3,"",ContactData!K24)</f>
        <v>nelsonlau@livingrealtykw.com</v>
      </c>
      <c r="G25"/>
      <c r="H25"/>
      <c r="I25"/>
      <c r="J25"/>
      <c r="K25"/>
      <c r="L25"/>
    </row>
    <row r="26" spans="1:12" ht="14.4" x14ac:dyDescent="0.3">
      <c r="A26" s="9">
        <f>IF(LEN(ContactData!H25)&lt;3,"",ContactData!H25)</f>
        <v>522</v>
      </c>
      <c r="B26" s="3" t="str">
        <f>ContactData!E25</f>
        <v>IT Support</v>
      </c>
      <c r="C26" s="3" t="str">
        <f>ContactData!G25</f>
        <v>Information Technology Technical Support</v>
      </c>
      <c r="D26" s="9" t="str">
        <f>IF(LEN(ContactData!I25)&lt;3,"",ContactData!I25)</f>
        <v>---</v>
      </c>
      <c r="E26" s="3" t="str">
        <f>ContactData!J25</f>
        <v>(905) 752-3522</v>
      </c>
      <c r="F26" s="3" t="str">
        <f>IF(LEN(ContactData!K25)&lt;3,"",ContactData!K25)</f>
        <v>itsupport@livingrealtykw.com</v>
      </c>
      <c r="G26"/>
      <c r="H26"/>
      <c r="I26"/>
      <c r="J26"/>
      <c r="K26"/>
      <c r="L26"/>
    </row>
    <row r="27" spans="1:12" ht="14.4" x14ac:dyDescent="0.3">
      <c r="A27" s="9" t="str">
        <f>IF(LEN(ContactData!H26)&lt;3,"",ContactData!H26)</f>
        <v/>
      </c>
      <c r="B27" s="3" t="str">
        <f>ContactData!E26</f>
        <v>North Markham Office</v>
      </c>
      <c r="C27" s="3" t="str">
        <f>ContactData!G26</f>
        <v>735 Markland St, Unit 12&amp;13, Markham, ON, L6C 0G6</v>
      </c>
      <c r="D27" s="9" t="str">
        <f>IF(LEN(ContactData!I26)&lt;3,"",ContactData!I26)</f>
        <v/>
      </c>
      <c r="E27" s="3" t="str">
        <f>ContactData!J26</f>
        <v>T: (905) 888-8188</v>
      </c>
      <c r="F27" s="3" t="str">
        <f>IF(LEN(ContactData!K26)&lt;3,"",ContactData!K26)</f>
        <v>northmarkham@livingrealtykw.com</v>
      </c>
      <c r="G27"/>
      <c r="H27"/>
      <c r="I27"/>
      <c r="J27"/>
      <c r="K27"/>
      <c r="L27"/>
    </row>
    <row r="28" spans="1:12" ht="14.4" x14ac:dyDescent="0.3">
      <c r="A28" s="9" t="str">
        <f>IF(LEN(ContactData!H27)&lt;3,"",ContactData!H27)</f>
        <v>---</v>
      </c>
      <c r="B28" s="3" t="str">
        <f>ContactData!E27</f>
        <v>Chris Tam</v>
      </c>
      <c r="C28" s="3" t="str">
        <f>ContactData!G27</f>
        <v>Manager North Markham Branch</v>
      </c>
      <c r="D28" s="9" t="str">
        <f>IF(LEN(ContactData!I27)&lt;3,"",ContactData!I27)</f>
        <v>(416) 505-6625</v>
      </c>
      <c r="E28" s="3" t="str">
        <f>ContactData!J27</f>
        <v>---</v>
      </c>
      <c r="F28" s="3" t="str">
        <f>IF(LEN(ContactData!K27)&lt;3,"",ContactData!K27)</f>
        <v>christam@livingrealtykw.com</v>
      </c>
      <c r="G28"/>
      <c r="H28"/>
      <c r="I28"/>
      <c r="J28"/>
      <c r="K28"/>
      <c r="L28"/>
    </row>
    <row r="29" spans="1:12" ht="14.4" x14ac:dyDescent="0.3">
      <c r="A29" s="9" t="str">
        <f>IF(LEN(ContactData!H28)&lt;3,"",ContactData!H28)</f>
        <v>---</v>
      </c>
      <c r="B29" s="3" t="str">
        <f>ContactData!E28</f>
        <v>Grace Chui</v>
      </c>
      <c r="C29" s="3" t="str">
        <f>ContactData!G28</f>
        <v>Head Secretary</v>
      </c>
      <c r="D29" s="9" t="str">
        <f>IF(LEN(ContactData!I28)&lt;3,"",ContactData!I28)</f>
        <v>---</v>
      </c>
      <c r="E29" s="3" t="str">
        <f>ContactData!J28</f>
        <v>(905) 888-8188</v>
      </c>
      <c r="F29" s="3" t="str">
        <f>IF(LEN(ContactData!K28)&lt;3,"",ContactData!K28)</f>
        <v>gracemschui@livingrealtykw.com</v>
      </c>
      <c r="G29"/>
      <c r="H29"/>
      <c r="I29"/>
      <c r="J29"/>
      <c r="K29"/>
      <c r="L29"/>
    </row>
    <row r="30" spans="1:12" ht="14.4" x14ac:dyDescent="0.3">
      <c r="A30" s="9" t="str">
        <f>IF(LEN(ContactData!H29)&lt;3,"",ContactData!H29)</f>
        <v>---</v>
      </c>
      <c r="B30" s="3" t="str">
        <f>ContactData!E29</f>
        <v>Kiran Li</v>
      </c>
      <c r="C30" s="3" t="str">
        <f>ContactData!G29</f>
        <v>Secretary</v>
      </c>
      <c r="D30" s="9" t="str">
        <f>IF(LEN(ContactData!I29)&lt;3,"",ContactData!I29)</f>
        <v>---</v>
      </c>
      <c r="E30" s="3" t="str">
        <f>ContactData!J29</f>
        <v>(905) 888-8188</v>
      </c>
      <c r="F30" s="3" t="str">
        <f>IF(LEN(ContactData!K29)&lt;3,"",ContactData!K29)</f>
        <v>kiranli@livingrealtykw.com</v>
      </c>
      <c r="G30"/>
      <c r="H30"/>
      <c r="I30"/>
      <c r="J30"/>
      <c r="K30"/>
      <c r="L30"/>
    </row>
    <row r="31" spans="1:12" ht="14.4" x14ac:dyDescent="0.3">
      <c r="A31" s="9" t="str">
        <f>IF(LEN(ContactData!H30)&lt;3,"",ContactData!H30)</f>
        <v/>
      </c>
      <c r="B31" s="3" t="str">
        <f>ContactData!E30</f>
        <v>Mississauga Office</v>
      </c>
      <c r="C31" s="3" t="str">
        <f>ContactData!G30</f>
        <v>1177 Central Parkway West, Golden Square, Unit 32, Mississauga, ON, L5C 4P3</v>
      </c>
      <c r="D31" s="9" t="str">
        <f>IF(LEN(ContactData!I30)&lt;3,"",ContactData!I30)</f>
        <v/>
      </c>
      <c r="E31" s="3" t="str">
        <f>ContactData!J30</f>
        <v>T: (905) 896-0002</v>
      </c>
      <c r="F31" s="3" t="str">
        <f>IF(LEN(ContactData!K30)&lt;3,"",ContactData!K30)</f>
        <v>mississauga@livingrealtykw.com</v>
      </c>
      <c r="G31"/>
      <c r="H31"/>
      <c r="I31"/>
      <c r="J31"/>
      <c r="K31"/>
      <c r="L31"/>
    </row>
    <row r="32" spans="1:12" ht="14.4" x14ac:dyDescent="0.3">
      <c r="A32" s="9" t="str">
        <f>IF(LEN(ContactData!H31)&lt;3,"",ContactData!H31)</f>
        <v>---</v>
      </c>
      <c r="B32" s="3" t="str">
        <f>ContactData!E31</f>
        <v>Cassandra Pacitto</v>
      </c>
      <c r="C32" s="3" t="str">
        <f>ContactData!G31</f>
        <v>Manager Mississauga Branch</v>
      </c>
      <c r="D32" s="9" t="str">
        <f>IF(LEN(ContactData!I31)&lt;3,"",ContactData!I31)</f>
        <v>(905) 896-0002</v>
      </c>
      <c r="E32" s="3" t="str">
        <f>ContactData!J31</f>
        <v>---</v>
      </c>
      <c r="F32" s="3" t="str">
        <f>IF(LEN(ContactData!K31)&lt;3,"",ContactData!K31)</f>
        <v>cassandrapacitto@livingrealtykw.com</v>
      </c>
      <c r="G32"/>
      <c r="H32"/>
      <c r="I32"/>
      <c r="J32"/>
      <c r="K32"/>
      <c r="L32"/>
    </row>
    <row r="33" spans="1:12" ht="14.4" x14ac:dyDescent="0.3">
      <c r="A33" s="9" t="str">
        <f>IF(LEN(ContactData!H32)&lt;3,"",ContactData!H32)</f>
        <v>---</v>
      </c>
      <c r="B33" s="3" t="str">
        <f>ContactData!E32</f>
        <v>Katie Wong</v>
      </c>
      <c r="C33" s="3" t="str">
        <f>ContactData!G32</f>
        <v>Secretary</v>
      </c>
      <c r="D33" s="9" t="str">
        <f>IF(LEN(ContactData!I32)&lt;3,"",ContactData!I32)</f>
        <v>---</v>
      </c>
      <c r="E33" s="3" t="str">
        <f>ContactData!J32</f>
        <v>(905) 896-0002</v>
      </c>
      <c r="F33" s="3" t="str">
        <f>IF(LEN(ContactData!K32)&lt;3,"",ContactData!K32)</f>
        <v>katiewong@livingrealtykw.com</v>
      </c>
      <c r="G33"/>
      <c r="H33"/>
      <c r="I33"/>
      <c r="J33"/>
      <c r="K33"/>
      <c r="L33"/>
    </row>
    <row r="34" spans="1:12" ht="14.4" x14ac:dyDescent="0.3">
      <c r="A34" s="9" t="str">
        <f>IF(LEN(ContactData!H33)&lt;3,"",ContactData!H33)</f>
        <v>---</v>
      </c>
      <c r="B34" s="3" t="str">
        <f>ContactData!E33</f>
        <v>Juliana Monize</v>
      </c>
      <c r="C34" s="3" t="str">
        <f>ContactData!G33</f>
        <v>Secretary</v>
      </c>
      <c r="D34" s="9" t="str">
        <f>IF(LEN(ContactData!I33)&lt;3,"",ContactData!I33)</f>
        <v>---</v>
      </c>
      <c r="E34" s="3" t="str">
        <f>ContactData!J33</f>
        <v>(905) 896-0002</v>
      </c>
      <c r="F34" s="3" t="str">
        <f>IF(LEN(ContactData!K33)&lt;3,"",ContactData!K33)</f>
        <v>julianamonize@livingrealtykw.com</v>
      </c>
      <c r="G34"/>
      <c r="H34"/>
      <c r="I34"/>
      <c r="J34"/>
      <c r="K34"/>
      <c r="L34"/>
    </row>
    <row r="35" spans="1:12" ht="14.4" x14ac:dyDescent="0.3">
      <c r="A35" s="9" t="str">
        <f>IF(LEN(ContactData!H34)&lt;3,"",ContactData!H34)</f>
        <v/>
      </c>
      <c r="B35" s="3" t="str">
        <f>ContactData!E34</f>
        <v>Woodbine Office</v>
      </c>
      <c r="C35" s="3" t="str">
        <f>ContactData!G34</f>
        <v>8 Steelcase Road West, Markham, ON, L3R 1B2</v>
      </c>
      <c r="D35" s="9" t="str">
        <f>IF(LEN(ContactData!I34)&lt;3,"",ContactData!I34)</f>
        <v/>
      </c>
      <c r="E35" s="3" t="str">
        <f>ContactData!J34</f>
        <v>T: (905) 474-0500</v>
      </c>
      <c r="F35" s="3" t="str">
        <f>IF(LEN(ContactData!K34)&lt;3,"",ContactData!K34)</f>
        <v>woodbine@livingrealtykw.com</v>
      </c>
      <c r="G35"/>
      <c r="H35"/>
      <c r="I35"/>
      <c r="J35"/>
      <c r="K35"/>
      <c r="L35"/>
    </row>
    <row r="36" spans="1:12" ht="14.4" x14ac:dyDescent="0.3">
      <c r="A36" s="9">
        <f>IF(LEN(ContactData!H35)&lt;3,"",ContactData!H35)</f>
        <v>176</v>
      </c>
      <c r="B36" s="3" t="str">
        <f>ContactData!E35</f>
        <v>Anita Huang</v>
      </c>
      <c r="C36" s="3" t="str">
        <f>ContactData!G35</f>
        <v>Manager Woobine Branch</v>
      </c>
      <c r="D36" s="9" t="str">
        <f>IF(LEN(ContactData!I35)&lt;3,"",ContactData!I35)</f>
        <v>(416) 523-1888</v>
      </c>
      <c r="E36" s="3" t="str">
        <f>ContactData!J35</f>
        <v>---</v>
      </c>
      <c r="F36" s="3" t="str">
        <f>IF(LEN(ContactData!K35)&lt;3,"",ContactData!K35)</f>
        <v>anitahuang@livingrealtykw.com</v>
      </c>
      <c r="G36"/>
      <c r="H36"/>
      <c r="I36"/>
      <c r="J36"/>
      <c r="K36"/>
      <c r="L36"/>
    </row>
    <row r="37" spans="1:12" ht="14.4" x14ac:dyDescent="0.3">
      <c r="A37" s="9">
        <f>IF(LEN(ContactData!H36)&lt;3,"",ContactData!H36)</f>
        <v>100</v>
      </c>
      <c r="B37" s="3" t="str">
        <f>ContactData!E36</f>
        <v>Savanna Joo</v>
      </c>
      <c r="C37" s="3" t="str">
        <f>ContactData!G36</f>
        <v>Secretary</v>
      </c>
      <c r="D37" s="9" t="str">
        <f>IF(LEN(ContactData!I36)&lt;3,"",ContactData!I36)</f>
        <v>---</v>
      </c>
      <c r="E37" s="3" t="str">
        <f>ContactData!J36</f>
        <v>(905) 474-0500</v>
      </c>
      <c r="F37" s="3" t="str">
        <f>IF(LEN(ContactData!K36)&lt;3,"",ContactData!K36)</f>
        <v>savannajoo@livingrealtykw.com</v>
      </c>
      <c r="G37"/>
      <c r="H37"/>
      <c r="I37"/>
      <c r="J37"/>
      <c r="K37"/>
      <c r="L37"/>
    </row>
    <row r="38" spans="1:12" ht="14.4" x14ac:dyDescent="0.3">
      <c r="A38" s="9">
        <f>IF(LEN(ContactData!H37)&lt;3,"",ContactData!H37)</f>
        <v>104</v>
      </c>
      <c r="B38" s="3" t="str">
        <f>ContactData!E37</f>
        <v>Riley Lam</v>
      </c>
      <c r="C38" s="3" t="str">
        <f>ContactData!G37</f>
        <v>Secretary</v>
      </c>
      <c r="D38" s="9" t="str">
        <f>IF(LEN(ContactData!I37)&lt;3,"",ContactData!I37)</f>
        <v>---</v>
      </c>
      <c r="E38" s="3" t="str">
        <f>ContactData!J37</f>
        <v>(905) 474-0500</v>
      </c>
      <c r="F38" s="3" t="str">
        <f>IF(LEN(ContactData!K37)&lt;3,"",ContactData!K37)</f>
        <v>rileylam@livingrealtykw.com</v>
      </c>
      <c r="G38"/>
      <c r="H38"/>
      <c r="I38"/>
      <c r="J38"/>
      <c r="K38"/>
      <c r="L38"/>
    </row>
    <row r="39" spans="1:12" ht="14.4" x14ac:dyDescent="0.3">
      <c r="A39" s="9" t="str">
        <f>IF(LEN(ContactData!H38)&lt;3,"",ContactData!H38)</f>
        <v/>
      </c>
      <c r="B39" s="3" t="str">
        <f>ContactData!E38</f>
        <v>Yonge &amp; Eglinton Office</v>
      </c>
      <c r="C39" s="3" t="str">
        <f>ContactData!G38</f>
        <v>2301 Yonge Street, Toronto, ON, M4P 2C6</v>
      </c>
      <c r="D39" s="9" t="str">
        <f>IF(LEN(ContactData!I38)&lt;3,"",ContactData!I38)</f>
        <v/>
      </c>
      <c r="E39" s="3" t="str">
        <f>ContactData!J38</f>
        <v>T: (416) 223-8833</v>
      </c>
      <c r="F39" s="3" t="str">
        <f>IF(LEN(ContactData!K38)&lt;3,"",ContactData!K38)</f>
        <v>ye@livingrealtykw.com</v>
      </c>
      <c r="G39"/>
      <c r="H39"/>
      <c r="I39"/>
      <c r="J39"/>
      <c r="K39"/>
      <c r="L39"/>
    </row>
    <row r="40" spans="1:12" ht="14.4" x14ac:dyDescent="0.3">
      <c r="A40" s="9" t="str">
        <f>IF(LEN(ContactData!H39)&lt;3,"",ContactData!H39)</f>
        <v>---</v>
      </c>
      <c r="B40" s="3" t="str">
        <f>ContactData!E39</f>
        <v xml:space="preserve">Tony Prochilo </v>
      </c>
      <c r="C40" s="3" t="str">
        <f>ContactData!G39</f>
        <v>Manager Yonge &amp; Eglinton</v>
      </c>
      <c r="D40" s="9" t="str">
        <f>IF(LEN(ContactData!I39)&lt;3,"",ContactData!I39)</f>
        <v>(416) 576-6312</v>
      </c>
      <c r="E40" s="3" t="str">
        <f>ContactData!J39</f>
        <v>---</v>
      </c>
      <c r="F40" s="3" t="str">
        <f>IF(LEN(ContactData!K39)&lt;3,"",ContactData!K39)</f>
        <v>tonyprochilo@livingrealtykw.com</v>
      </c>
      <c r="G40"/>
      <c r="H40"/>
      <c r="I40"/>
      <c r="J40"/>
      <c r="K40"/>
      <c r="L40"/>
    </row>
    <row r="41" spans="1:12" ht="14.4" x14ac:dyDescent="0.3">
      <c r="A41" s="9" t="str">
        <f>IF(LEN(ContactData!H40)&lt;3,"",ContactData!H40)</f>
        <v>---</v>
      </c>
      <c r="B41" s="3" t="str">
        <f>ContactData!E40</f>
        <v>Lydia Ng</v>
      </c>
      <c r="C41" s="3" t="str">
        <f>ContactData!G40</f>
        <v>Secretary</v>
      </c>
      <c r="D41" s="9" t="str">
        <f>IF(LEN(ContactData!I40)&lt;3,"",ContactData!I40)</f>
        <v>---</v>
      </c>
      <c r="E41" s="3" t="str">
        <f>ContactData!J40</f>
        <v>(416) 223-8833</v>
      </c>
      <c r="F41" s="3" t="str">
        <f>IF(LEN(ContactData!K40)&lt;3,"",ContactData!K40)</f>
        <v>lydiang@livingrealtykw.com</v>
      </c>
      <c r="G41"/>
      <c r="H41"/>
      <c r="I41"/>
      <c r="J41"/>
      <c r="K41"/>
      <c r="L41"/>
    </row>
    <row r="42" spans="1:12" ht="14.4" x14ac:dyDescent="0.3">
      <c r="A42" s="9" t="str">
        <f>IF(LEN(ContactData!H41)&lt;3,"",ContactData!H41)</f>
        <v/>
      </c>
      <c r="B42" s="3" t="str">
        <f>ContactData!E41</f>
        <v>I.C.&amp;I. Office</v>
      </c>
      <c r="C42" s="3" t="str">
        <f>ContactData!G41</f>
        <v>8 Steelcase Road West, Unit C, Markham, ON, L3R 1B2</v>
      </c>
      <c r="D42" s="9" t="str">
        <f>IF(LEN(ContactData!I41)&lt;3,"",ContactData!I41)</f>
        <v/>
      </c>
      <c r="E42" s="3" t="str">
        <f>ContactData!J41</f>
        <v>T: (905) 474-1772</v>
      </c>
      <c r="F42" s="3" t="str">
        <f>IF(LEN(ContactData!K41)&lt;3,"",ContactData!K41)</f>
        <v/>
      </c>
      <c r="G42"/>
      <c r="H42"/>
      <c r="I42"/>
      <c r="J42"/>
      <c r="K42"/>
      <c r="L42"/>
    </row>
    <row r="43" spans="1:12" ht="14.4" x14ac:dyDescent="0.3">
      <c r="A43" s="9">
        <f>IF(LEN(ContactData!H42)&lt;3,"",ContactData!H42)</f>
        <v>228</v>
      </c>
      <c r="B43" s="3" t="str">
        <f>ContactData!E42</f>
        <v>Kelvin Wong</v>
      </c>
      <c r="C43" s="3" t="str">
        <f>ContactData!G42</f>
        <v>Manager I.C.&amp;I. Branch</v>
      </c>
      <c r="D43" s="9" t="str">
        <f>IF(LEN(ContactData!I42)&lt;3,"",ContactData!I42)</f>
        <v>(416) 567-7882</v>
      </c>
      <c r="E43" s="3" t="str">
        <f>ContactData!J42</f>
        <v>---</v>
      </c>
      <c r="F43" s="3" t="str">
        <f>IF(LEN(ContactData!K42)&lt;3,"",ContactData!K42)</f>
        <v>kelvin@livingrealtykw.com</v>
      </c>
      <c r="G43"/>
      <c r="H43"/>
      <c r="I43"/>
      <c r="J43"/>
      <c r="K43"/>
      <c r="L43"/>
    </row>
    <row r="44" spans="1:12" ht="14.4" x14ac:dyDescent="0.3">
      <c r="A44" s="9" t="str">
        <f>IF(LEN(ContactData!H43)&lt;3,"",ContactData!H43)</f>
        <v/>
      </c>
      <c r="B44" s="3" t="str">
        <f>ContactData!E43</f>
        <v>LPI Head Office</v>
      </c>
      <c r="C44" s="3" t="str">
        <f>ContactData!G43</f>
        <v>8 Steelcase Road West, Markham, ON, L3R 1B2</v>
      </c>
      <c r="D44" s="9" t="str">
        <f>IF(LEN(ContactData!I43)&lt;3,"",ContactData!I43)</f>
        <v/>
      </c>
      <c r="E44" s="3" t="str">
        <f>ContactData!J43</f>
        <v>T: (905) 477-2090</v>
      </c>
      <c r="F44" s="3" t="str">
        <f>IF(LEN(ContactData!K43)&lt;3,"",ContactData!K43)</f>
        <v/>
      </c>
      <c r="G44"/>
      <c r="H44"/>
      <c r="I44"/>
      <c r="J44"/>
      <c r="K44"/>
      <c r="L44"/>
    </row>
    <row r="45" spans="1:12" ht="14.4" x14ac:dyDescent="0.3">
      <c r="A45" s="9">
        <f>IF(LEN(ContactData!H44)&lt;3,"",ContactData!H44)</f>
        <v>521</v>
      </c>
      <c r="B45" s="3" t="str">
        <f>ContactData!E44</f>
        <v>Ben Wong</v>
      </c>
      <c r="C45" s="3" t="str">
        <f>ContactData!G44</f>
        <v>President</v>
      </c>
      <c r="D45" s="9" t="str">
        <f>IF(LEN(ContactData!I44)&lt;3,"",ContactData!I44)</f>
        <v>(416) 399-2311</v>
      </c>
      <c r="E45" s="3" t="str">
        <f>ContactData!J44</f>
        <v>(905) 752-3521</v>
      </c>
      <c r="F45" s="3" t="str">
        <f>IF(LEN(ContactData!K44)&lt;3,"",ContactData!K44)</f>
        <v>benw@livingproperties.com</v>
      </c>
      <c r="G45"/>
      <c r="H45"/>
      <c r="I45"/>
      <c r="J45"/>
      <c r="K45"/>
      <c r="L45"/>
    </row>
    <row r="46" spans="1:12" ht="14.4" x14ac:dyDescent="0.3">
      <c r="A46" s="9">
        <f>IF(LEN(ContactData!H45)&lt;3,"",ContactData!H45)</f>
        <v>514</v>
      </c>
      <c r="B46" s="3" t="str">
        <f>ContactData!E45</f>
        <v>Winnie Tsui</v>
      </c>
      <c r="C46" s="3" t="str">
        <f>ContactData!G45</f>
        <v>Director of Operations</v>
      </c>
      <c r="D46" s="9" t="str">
        <f>IF(LEN(ContactData!I45)&lt;3,"",ContactData!I45)</f>
        <v>(647) 286-0145</v>
      </c>
      <c r="E46" s="3" t="str">
        <f>ContactData!J45</f>
        <v xml:space="preserve">(905) 752-3514 </v>
      </c>
      <c r="F46" s="3" t="str">
        <f>IF(LEN(ContactData!K45)&lt;3,"",ContactData!K45)</f>
        <v>winniet@livingproperties.com</v>
      </c>
      <c r="G46"/>
      <c r="H46"/>
      <c r="I46"/>
      <c r="J46"/>
      <c r="K46"/>
      <c r="L46"/>
    </row>
    <row r="47" spans="1:12" ht="14.4" x14ac:dyDescent="0.3">
      <c r="A47" s="9">
        <f>IF(LEN(ContactData!H46)&lt;3,"",ContactData!H46)</f>
        <v>286</v>
      </c>
      <c r="B47" s="3" t="str">
        <f>ContactData!E46</f>
        <v>Frederick Tang</v>
      </c>
      <c r="C47" s="3" t="str">
        <f>ContactData!G46</f>
        <v>Director of Business Development</v>
      </c>
      <c r="D47" s="9" t="str">
        <f>IF(LEN(ContactData!I46)&lt;3,"",ContactData!I46)</f>
        <v>(416) 618-5898</v>
      </c>
      <c r="E47" s="3" t="str">
        <f>ContactData!J46</f>
        <v>-</v>
      </c>
      <c r="F47" s="3" t="str">
        <f>IF(LEN(ContactData!K46)&lt;3,"",ContactData!K46)</f>
        <v>fredt@livingproperties.com</v>
      </c>
      <c r="G47"/>
      <c r="H47"/>
      <c r="I47"/>
      <c r="J47"/>
      <c r="K47"/>
      <c r="L47"/>
    </row>
    <row r="48" spans="1:12" ht="14.4" x14ac:dyDescent="0.3">
      <c r="A48" s="9">
        <f>IF(LEN(ContactData!H47)&lt;3,"",ContactData!H47)</f>
        <v>512</v>
      </c>
      <c r="B48" s="3" t="str">
        <f>ContactData!E47</f>
        <v>Stanley Chow</v>
      </c>
      <c r="C48" s="3" t="str">
        <f>ContactData!G47</f>
        <v>Property Manager</v>
      </c>
      <c r="D48" s="9" t="str">
        <f>IF(LEN(ContactData!I47)&lt;3,"",ContactData!I47)</f>
        <v>(416) 277-6098</v>
      </c>
      <c r="E48" s="3" t="str">
        <f>ContactData!J47</f>
        <v>(905) 752-3512</v>
      </c>
      <c r="F48" s="3" t="str">
        <f>IF(LEN(ContactData!K47)&lt;3,"",ContactData!K47)</f>
        <v>stanleyc@livingproperties.com</v>
      </c>
      <c r="G48"/>
      <c r="H48"/>
      <c r="I48"/>
      <c r="J48"/>
      <c r="K48"/>
      <c r="L48"/>
    </row>
    <row r="49" spans="1:12" ht="14.4" x14ac:dyDescent="0.3">
      <c r="A49" s="9">
        <f>IF(LEN(ContactData!H48)&lt;3,"",ContactData!H48)</f>
        <v>284</v>
      </c>
      <c r="B49" s="3" t="str">
        <f>ContactData!E48</f>
        <v>Richard Baksh</v>
      </c>
      <c r="C49" s="3" t="str">
        <f>ContactData!G48</f>
        <v>Property Manager</v>
      </c>
      <c r="D49" s="9" t="str">
        <f>IF(LEN(ContactData!I48)&lt;3,"",ContactData!I48)</f>
        <v>(647) 967-0088</v>
      </c>
      <c r="E49" s="3" t="str">
        <f>ContactData!J48</f>
        <v>(905) 258-0632</v>
      </c>
      <c r="F49" s="3" t="str">
        <f>IF(LEN(ContactData!K48)&lt;3,"",ContactData!K48)</f>
        <v>richardb@livingproperties.com</v>
      </c>
      <c r="G49"/>
      <c r="H49"/>
      <c r="I49"/>
      <c r="J49"/>
      <c r="K49"/>
      <c r="L49"/>
    </row>
    <row r="50" spans="1:12" ht="14.4" x14ac:dyDescent="0.3">
      <c r="A50" s="9">
        <f>IF(LEN(ContactData!H49)&lt;3,"",ContactData!H49)</f>
        <v>517</v>
      </c>
      <c r="B50" s="3" t="str">
        <f>ContactData!E49</f>
        <v>Ken Kam</v>
      </c>
      <c r="C50" s="3" t="str">
        <f>ContactData!G49</f>
        <v>Property Manager</v>
      </c>
      <c r="D50" s="9" t="str">
        <f>IF(LEN(ContactData!I49)&lt;3,"",ContactData!I49)</f>
        <v>(647) 204-4455</v>
      </c>
      <c r="E50" s="3" t="str">
        <f>ContactData!J49</f>
        <v>(905) 477-2090</v>
      </c>
      <c r="F50" s="3" t="str">
        <f>IF(LEN(ContactData!K49)&lt;3,"",ContactData!K49)</f>
        <v>kenk@livingproperties.com</v>
      </c>
      <c r="G50"/>
      <c r="H50"/>
      <c r="I50"/>
      <c r="J50"/>
      <c r="K50"/>
      <c r="L50"/>
    </row>
    <row r="51" spans="1:12" ht="14.4" x14ac:dyDescent="0.3">
      <c r="A51" s="9">
        <f>IF(LEN(ContactData!H50)&lt;3,"",ContactData!H50)</f>
        <v>520</v>
      </c>
      <c r="B51" s="3" t="str">
        <f>ContactData!E50</f>
        <v>Raymond Chin</v>
      </c>
      <c r="C51" s="3" t="str">
        <f>ContactData!G50</f>
        <v>Property Manager</v>
      </c>
      <c r="D51" s="9" t="str">
        <f>IF(LEN(ContactData!I50)&lt;3,"",ContactData!I50)</f>
        <v>(437) 331-6038</v>
      </c>
      <c r="E51" s="3" t="str">
        <f>ContactData!J50</f>
        <v>(905) 477-2090</v>
      </c>
      <c r="F51" s="3" t="str">
        <f>IF(LEN(ContactData!K50)&lt;3,"",ContactData!K50)</f>
        <v>raymondc@livingproperties.com</v>
      </c>
      <c r="G51"/>
      <c r="H51"/>
      <c r="I51"/>
      <c r="J51"/>
      <c r="K51"/>
      <c r="L51"/>
    </row>
    <row r="52" spans="1:12" ht="14.4" x14ac:dyDescent="0.3">
      <c r="A52" s="9">
        <f>IF(LEN(ContactData!H51)&lt;3,"",ContactData!H51)</f>
        <v>168</v>
      </c>
      <c r="B52" s="3" t="str">
        <f>ContactData!E51</f>
        <v>Thomas Lee</v>
      </c>
      <c r="C52" s="3" t="str">
        <f>ContactData!G51</f>
        <v>Property Manager</v>
      </c>
      <c r="D52" s="9" t="str">
        <f>IF(LEN(ContactData!I51)&lt;3,"",ContactData!I51)</f>
        <v>(416) 567-4274</v>
      </c>
      <c r="E52" s="3" t="str">
        <f>ContactData!J51</f>
        <v>(905) 477-2090</v>
      </c>
      <c r="F52" s="3" t="str">
        <f>IF(LEN(ContactData!K51)&lt;3,"",ContactData!K51)</f>
        <v>Thomasl@livingproperties.com</v>
      </c>
      <c r="G52"/>
      <c r="H52"/>
      <c r="I52"/>
      <c r="J52"/>
      <c r="K52"/>
      <c r="L52"/>
    </row>
    <row r="53" spans="1:12" ht="14.4" x14ac:dyDescent="0.3">
      <c r="A53" s="9">
        <f>IF(LEN(ContactData!H52)&lt;3,"",ContactData!H52)</f>
        <v>168</v>
      </c>
      <c r="B53" s="3" t="str">
        <f>ContactData!E52</f>
        <v>Stanley Wu</v>
      </c>
      <c r="C53" s="3" t="str">
        <f>ContactData!G52</f>
        <v>Property Manager</v>
      </c>
      <c r="D53" s="9" t="str">
        <f>IF(LEN(ContactData!I52)&lt;3,"",ContactData!I52)</f>
        <v>---</v>
      </c>
      <c r="E53" s="3" t="str">
        <f>ContactData!J52</f>
        <v>(905) 477-2090</v>
      </c>
      <c r="F53" s="3" t="str">
        <f>IF(LEN(ContactData!K52)&lt;3,"",ContactData!K52)</f>
        <v>stanleyw@livingproperties.com</v>
      </c>
      <c r="G53"/>
      <c r="H53"/>
      <c r="I53"/>
      <c r="J53"/>
      <c r="K53"/>
      <c r="L53"/>
    </row>
    <row r="54" spans="1:12" ht="14.4" x14ac:dyDescent="0.3">
      <c r="A54" s="9">
        <f>IF(LEN(ContactData!H53)&lt;3,"",ContactData!H53)</f>
        <v>210</v>
      </c>
      <c r="B54" s="3" t="str">
        <f>ContactData!E53</f>
        <v>Loretta Leung</v>
      </c>
      <c r="C54" s="3" t="str">
        <f>ContactData!G53</f>
        <v>Executive Assistant</v>
      </c>
      <c r="D54" s="9" t="str">
        <f>IF(LEN(ContactData!I53)&lt;3,"",ContactData!I53)</f>
        <v>---</v>
      </c>
      <c r="E54" s="3" t="str">
        <f>ContactData!J53</f>
        <v>---</v>
      </c>
      <c r="F54" s="3" t="str">
        <f>IF(LEN(ContactData!K53)&lt;3,"",ContactData!K53)</f>
        <v>lorettal@livingproperties.com</v>
      </c>
      <c r="G54"/>
      <c r="H54"/>
      <c r="I54"/>
      <c r="J54"/>
      <c r="K54"/>
      <c r="L54"/>
    </row>
    <row r="55" spans="1:12" ht="14.4" x14ac:dyDescent="0.3">
      <c r="A55" s="9">
        <f>IF(LEN(ContactData!H54)&lt;3,"",ContactData!H54)</f>
        <v>518</v>
      </c>
      <c r="B55" s="3" t="str">
        <f>ContactData!E54</f>
        <v>Simon Li</v>
      </c>
      <c r="C55" s="3" t="str">
        <f>ContactData!G54</f>
        <v>Senior Accountant</v>
      </c>
      <c r="D55" s="9" t="str">
        <f>IF(LEN(ContactData!I54)&lt;3,"",ContactData!I54)</f>
        <v>---</v>
      </c>
      <c r="E55" s="3" t="str">
        <f>ContactData!J54</f>
        <v>(905) 752-3518</v>
      </c>
      <c r="F55" s="3" t="str">
        <f>IF(LEN(ContactData!K54)&lt;3,"",ContactData!K54)</f>
        <v>simonl@livingproperties.com</v>
      </c>
      <c r="G55"/>
      <c r="H55"/>
      <c r="I55"/>
      <c r="J55"/>
      <c r="K55"/>
      <c r="L55"/>
    </row>
    <row r="56" spans="1:12" ht="14.4" x14ac:dyDescent="0.3">
      <c r="A56" s="9">
        <f>IF(LEN(ContactData!H55)&lt;3,"",ContactData!H55)</f>
        <v>281</v>
      </c>
      <c r="B56" s="3" t="str">
        <f>ContactData!E55</f>
        <v>Nicole Leung</v>
      </c>
      <c r="C56" s="3" t="str">
        <f>ContactData!G55</f>
        <v>Property Accountant</v>
      </c>
      <c r="D56" s="9" t="str">
        <f>IF(LEN(ContactData!I55)&lt;3,"",ContactData!I55)</f>
        <v>---</v>
      </c>
      <c r="E56" s="3" t="str">
        <f>ContactData!J55</f>
        <v>---</v>
      </c>
      <c r="F56" s="3" t="str">
        <f>IF(LEN(ContactData!K55)&lt;3,"",ContactData!K55)</f>
        <v>nicolel@livingproperties.com</v>
      </c>
      <c r="G56"/>
      <c r="H56"/>
      <c r="I56"/>
      <c r="J56"/>
      <c r="K56"/>
      <c r="L56"/>
    </row>
    <row r="57" spans="1:12" ht="14.4" x14ac:dyDescent="0.3">
      <c r="A57" s="9">
        <f>IF(LEN(ContactData!H56)&lt;3,"",ContactData!H56)</f>
        <v>523</v>
      </c>
      <c r="B57" s="3" t="str">
        <f>ContactData!E56</f>
        <v>Vivian Lum</v>
      </c>
      <c r="C57" s="3" t="str">
        <f>ContactData!G56</f>
        <v>Accounts Receivable Clerk</v>
      </c>
      <c r="D57" s="9" t="str">
        <f>IF(LEN(ContactData!I56)&lt;3,"",ContactData!I56)</f>
        <v>---</v>
      </c>
      <c r="E57" s="3" t="str">
        <f>ContactData!J56</f>
        <v>(905) 752-3523</v>
      </c>
      <c r="F57" s="3" t="str">
        <f>IF(LEN(ContactData!K56)&lt;3,"",ContactData!K56)</f>
        <v>vivianl@livingproperties.com</v>
      </c>
      <c r="G57"/>
      <c r="H57"/>
      <c r="I57"/>
      <c r="J57"/>
      <c r="K57"/>
      <c r="L57"/>
    </row>
    <row r="58" spans="1:12" ht="14.4" x14ac:dyDescent="0.3">
      <c r="A58" s="9">
        <f>IF(LEN(ContactData!H57)&lt;3,"",ContactData!H57)</f>
        <v>223</v>
      </c>
      <c r="B58" s="3" t="str">
        <f>ContactData!E57</f>
        <v>Jessica Lee</v>
      </c>
      <c r="C58" s="3" t="str">
        <f>ContactData!G57</f>
        <v xml:space="preserve">Accounting Clerk </v>
      </c>
      <c r="D58" s="9" t="str">
        <f>IF(LEN(ContactData!I57)&lt;3,"",ContactData!I57)</f>
        <v>---</v>
      </c>
      <c r="E58" s="3" t="str">
        <f>ContactData!J57</f>
        <v>---</v>
      </c>
      <c r="F58" s="3" t="str">
        <f>IF(LEN(ContactData!K57)&lt;3,"",ContactData!K57)</f>
        <v>jessical@livingproperties.com</v>
      </c>
      <c r="G58"/>
      <c r="H58"/>
      <c r="I58"/>
      <c r="J58"/>
      <c r="K58"/>
      <c r="L58"/>
    </row>
    <row r="59" spans="1:12" ht="14.4" x14ac:dyDescent="0.3">
      <c r="A59" s="9">
        <f>IF(LEN(ContactData!H58)&lt;3,"",ContactData!H58)</f>
        <v>172</v>
      </c>
      <c r="B59" s="3" t="str">
        <f>ContactData!E58</f>
        <v>Rebecca Lau</v>
      </c>
      <c r="C59" s="3" t="str">
        <f>ContactData!G58</f>
        <v>Administrative Assistant</v>
      </c>
      <c r="D59" s="9" t="str">
        <f>IF(LEN(ContactData!I58)&lt;3,"",ContactData!I58)</f>
        <v>---</v>
      </c>
      <c r="E59" s="3" t="str">
        <f>ContactData!J58</f>
        <v>---</v>
      </c>
      <c r="F59" s="3" t="str">
        <f>IF(LEN(ContactData!K58)&lt;3,"",ContactData!K58)</f>
        <v>rebeccal@livingproperties.com</v>
      </c>
      <c r="G59"/>
      <c r="H59"/>
      <c r="I59"/>
      <c r="J59"/>
      <c r="K59"/>
      <c r="L59"/>
    </row>
    <row r="60" spans="1:12" ht="14.4" x14ac:dyDescent="0.3">
      <c r="A60" s="9">
        <f>IF(LEN(ContactData!H59)&lt;3,"",ContactData!H59)</f>
        <v>182</v>
      </c>
      <c r="B60" s="3" t="str">
        <f>ContactData!E59</f>
        <v>Kelvin Chan</v>
      </c>
      <c r="C60" s="3" t="str">
        <f>ContactData!G59</f>
        <v>Administrative Assistant</v>
      </c>
      <c r="D60" s="9" t="str">
        <f>IF(LEN(ContactData!I59)&lt;3,"",ContactData!I59)</f>
        <v>---</v>
      </c>
      <c r="E60" s="3" t="str">
        <f>ContactData!J59</f>
        <v>---</v>
      </c>
      <c r="F60" s="3" t="str">
        <f>IF(LEN(ContactData!K59)&lt;3,"",ContactData!K59)</f>
        <v>kelvinc@livingproperties.com</v>
      </c>
      <c r="G60"/>
      <c r="H60"/>
      <c r="I60"/>
      <c r="J60"/>
      <c r="K60"/>
      <c r="L60"/>
    </row>
    <row r="61" spans="1:12" ht="14.4" x14ac:dyDescent="0.3">
      <c r="A61" s="9" t="str">
        <f>IF(LEN(ContactData!H60)&lt;3,"",ContactData!H60)</f>
        <v>---</v>
      </c>
      <c r="B61" s="3" t="str">
        <f>ContactData!E60</f>
        <v>Gus B</v>
      </c>
      <c r="C61" s="3" t="str">
        <f>ContactData!G60</f>
        <v>Handyman</v>
      </c>
      <c r="D61" s="9" t="str">
        <f>IF(LEN(ContactData!I60)&lt;3,"",ContactData!I60)</f>
        <v>---</v>
      </c>
      <c r="E61" s="3" t="str">
        <f>ContactData!J60</f>
        <v>(905) 477-2090</v>
      </c>
      <c r="F61" s="3" t="str">
        <f>IF(LEN(ContactData!K60)&lt;3,"",ContactData!K60)</f>
        <v>gusb@livcontrustion.ca</v>
      </c>
      <c r="G61"/>
      <c r="H61"/>
      <c r="I61"/>
      <c r="J61"/>
      <c r="K61"/>
      <c r="L61"/>
    </row>
    <row r="62" spans="1:12" ht="14.4" x14ac:dyDescent="0.3">
      <c r="A62" s="9">
        <f>IF(LEN(ContactData!H61)&lt;3,"",ContactData!H61)</f>
        <v>229</v>
      </c>
      <c r="B62" s="3" t="str">
        <f>ContactData!E61</f>
        <v>Matthew Wong</v>
      </c>
      <c r="C62" s="3" t="str">
        <f>ContactData!G61</f>
        <v>Accounting Clerk</v>
      </c>
      <c r="D62" s="9" t="str">
        <f>IF(LEN(ContactData!I61)&lt;3,"",ContactData!I61)</f>
        <v>---</v>
      </c>
      <c r="E62" s="3" t="str">
        <f>ContactData!J61</f>
        <v>---</v>
      </c>
      <c r="F62" s="3" t="str">
        <f>IF(LEN(ContactData!K61)&lt;3,"",ContactData!K61)</f>
        <v>mattheww@livingproperties.com</v>
      </c>
      <c r="G62"/>
      <c r="H62"/>
      <c r="I62"/>
      <c r="J62"/>
      <c r="K62"/>
      <c r="L62"/>
    </row>
    <row r="63" spans="1:12" ht="14.4" x14ac:dyDescent="0.3">
      <c r="A63" s="9" t="str">
        <f>IF(LEN(ContactData!H62)&lt;3,"",ContactData!H62)</f>
        <v/>
      </c>
      <c r="B63" s="3" t="str">
        <f>ContactData!E62</f>
        <v>Centro Towers Office</v>
      </c>
      <c r="C63" s="3" t="str">
        <f>ContactData!G62</f>
        <v>25 Town Centre Crt, Scarborough, ON, M1P 0B4</v>
      </c>
      <c r="D63" s="9" t="str">
        <f>IF(LEN(ContactData!I62)&lt;3,"",ContactData!I62)</f>
        <v/>
      </c>
      <c r="E63" s="3" t="str">
        <f>ContactData!J62</f>
        <v>T: (416) 290-1242</v>
      </c>
      <c r="F63" s="3" t="str">
        <f>IF(LEN(ContactData!K62)&lt;3,"",ContactData!K62)</f>
        <v/>
      </c>
      <c r="G63"/>
      <c r="H63"/>
      <c r="I63"/>
      <c r="J63"/>
      <c r="K63"/>
      <c r="L63"/>
    </row>
    <row r="64" spans="1:12" ht="14.4" x14ac:dyDescent="0.3">
      <c r="A64" s="9" t="str">
        <f>IF(LEN(ContactData!H63)&lt;3,"",ContactData!H63)</f>
        <v>---</v>
      </c>
      <c r="B64" s="3" t="str">
        <f>ContactData!E63</f>
        <v>Henry Fu</v>
      </c>
      <c r="C64" s="3" t="str">
        <f>ContactData!G63</f>
        <v>Property Manager</v>
      </c>
      <c r="D64" s="9" t="str">
        <f>IF(LEN(ContactData!I63)&lt;3,"",ContactData!I63)</f>
        <v>(416) 278-2953</v>
      </c>
      <c r="E64" s="3" t="str">
        <f>ContactData!J63</f>
        <v>(416) 290-1242</v>
      </c>
      <c r="F64" s="3" t="str">
        <f>IF(LEN(ContactData!K63)&lt;3,"",ContactData!K63)</f>
        <v>henry@centrotowers.com</v>
      </c>
      <c r="G64"/>
      <c r="H64"/>
      <c r="I64"/>
      <c r="J64"/>
      <c r="K64"/>
      <c r="L64"/>
    </row>
    <row r="65" spans="1:12" ht="14.4" x14ac:dyDescent="0.3">
      <c r="A65" s="9" t="str">
        <f>IF(LEN(ContactData!H64)&lt;3,"",ContactData!H64)</f>
        <v>---</v>
      </c>
      <c r="B65" s="3" t="str">
        <f>ContactData!E64</f>
        <v>Sophia Yip</v>
      </c>
      <c r="C65" s="3" t="str">
        <f>ContactData!G64</f>
        <v>Property Administrator</v>
      </c>
      <c r="D65" s="9" t="str">
        <f>IF(LEN(ContactData!I64)&lt;3,"",ContactData!I64)</f>
        <v>---</v>
      </c>
      <c r="E65" s="3" t="str">
        <f>ContactData!J64</f>
        <v>(416) 290-1242</v>
      </c>
      <c r="F65" s="3" t="str">
        <f>IF(LEN(ContactData!K64)&lt;3,"",ContactData!K64)</f>
        <v>sophia@centrotowers.com</v>
      </c>
      <c r="G65"/>
      <c r="H65"/>
      <c r="I65"/>
      <c r="J65"/>
      <c r="K65"/>
      <c r="L65"/>
    </row>
    <row r="66" spans="1:12" ht="14.4" x14ac:dyDescent="0.3">
      <c r="A66" s="9" t="str">
        <f>IF(LEN(ContactData!H65)&lt;3,"",ContactData!H65)</f>
        <v>---</v>
      </c>
      <c r="B66" s="3" t="str">
        <f>ContactData!E65</f>
        <v xml:space="preserve">Security Desk </v>
      </c>
      <c r="C66" s="3" t="str">
        <f>ContactData!G65</f>
        <v xml:space="preserve">Centro Security Desk </v>
      </c>
      <c r="D66" s="9" t="str">
        <f>IF(LEN(ContactData!I65)&lt;3,"",ContactData!I65)</f>
        <v>---</v>
      </c>
      <c r="E66" s="3" t="str">
        <f>ContactData!J65</f>
        <v>(416) 296-0099</v>
      </c>
      <c r="F66" s="3" t="str">
        <f>IF(LEN(ContactData!K65)&lt;3,"",ContactData!K65)</f>
        <v>---</v>
      </c>
      <c r="G66"/>
      <c r="H66"/>
      <c r="I66"/>
      <c r="J66"/>
      <c r="K66"/>
      <c r="L66"/>
    </row>
    <row r="67" spans="1:12" ht="14.4" x14ac:dyDescent="0.3">
      <c r="A67" s="9" t="str">
        <f>IF(LEN(ContactData!H66)&lt;3,"",ContactData!H66)</f>
        <v/>
      </c>
      <c r="B67" s="3" t="str">
        <f>ContactData!E66</f>
        <v>EQ1 Office</v>
      </c>
      <c r="C67" s="3" t="str">
        <f>ContactData!G66</f>
        <v>70 Town Centre Court, Scarborough, ON, M1P 0B2</v>
      </c>
      <c r="D67" s="9" t="str">
        <f>IF(LEN(ContactData!I66)&lt;3,"",ContactData!I66)</f>
        <v/>
      </c>
      <c r="E67" s="3" t="str">
        <f>ContactData!J66</f>
        <v xml:space="preserve">T: (416) 279-0603 </v>
      </c>
      <c r="F67" s="3" t="str">
        <f>IF(LEN(ContactData!K66)&lt;3,"",ContactData!K66)</f>
        <v>eq1@livingproperties.com</v>
      </c>
      <c r="G67"/>
      <c r="H67"/>
      <c r="I67"/>
      <c r="J67"/>
      <c r="K67"/>
      <c r="L67"/>
    </row>
    <row r="68" spans="1:12" ht="14.4" x14ac:dyDescent="0.3">
      <c r="A68" s="9" t="str">
        <f>IF(LEN(ContactData!H67)&lt;3,"",ContactData!H67)</f>
        <v>---</v>
      </c>
      <c r="B68" s="3" t="str">
        <f>ContactData!E67</f>
        <v>Ming Ip</v>
      </c>
      <c r="C68" s="3" t="str">
        <f>ContactData!G67</f>
        <v>Property Manager</v>
      </c>
      <c r="D68" s="9" t="str">
        <f>IF(LEN(ContactData!I67)&lt;3,"",ContactData!I67)</f>
        <v>(647) 286-0147</v>
      </c>
      <c r="E68" s="3" t="str">
        <f>ContactData!J67</f>
        <v xml:space="preserve">(416) 279-0603 </v>
      </c>
      <c r="F68" s="3" t="str">
        <f>IF(LEN(ContactData!K67)&lt;3,"",ContactData!K67)</f>
        <v>eq1manager@livingproperties.com</v>
      </c>
      <c r="G68"/>
      <c r="H68"/>
      <c r="I68"/>
      <c r="J68"/>
      <c r="K68"/>
      <c r="L68"/>
    </row>
    <row r="69" spans="1:12" ht="14.4" x14ac:dyDescent="0.3">
      <c r="A69" s="9" t="str">
        <f>IF(LEN(ContactData!H68)&lt;3,"",ContactData!H68)</f>
        <v>---</v>
      </c>
      <c r="B69" s="3" t="str">
        <f>ContactData!E68</f>
        <v xml:space="preserve">Security Desk </v>
      </c>
      <c r="C69" s="3" t="str">
        <f>ContactData!G68</f>
        <v xml:space="preserve">EQ1 Security Desk </v>
      </c>
      <c r="D69" s="9" t="str">
        <f>IF(LEN(ContactData!I68)&lt;3,"",ContactData!I68)</f>
        <v>---</v>
      </c>
      <c r="E69" s="3" t="str">
        <f>ContactData!J68</f>
        <v>(416) 279-1894</v>
      </c>
      <c r="F69" s="3" t="str">
        <f>IF(LEN(ContactData!K68)&lt;3,"",ContactData!K68)</f>
        <v>---</v>
      </c>
      <c r="G69"/>
      <c r="H69"/>
      <c r="I69"/>
      <c r="J69"/>
      <c r="K69"/>
      <c r="L69"/>
    </row>
    <row r="70" spans="1:12" ht="14.4" x14ac:dyDescent="0.3">
      <c r="A70" s="9" t="str">
        <f>IF(LEN(ContactData!H69)&lt;3,"",ContactData!H69)</f>
        <v/>
      </c>
      <c r="B70" s="3" t="str">
        <f>ContactData!E69</f>
        <v>EQ2 Office</v>
      </c>
      <c r="C70" s="3" t="str">
        <f>ContactData!G69</f>
        <v>60 Town Centre Court, Scarborough, ON, M1P 0B1</v>
      </c>
      <c r="D70" s="9" t="str">
        <f>IF(LEN(ContactData!I69)&lt;3,"",ContactData!I69)</f>
        <v/>
      </c>
      <c r="E70" s="3" t="str">
        <f>ContactData!J69</f>
        <v xml:space="preserve">T: (416) 279-0591 </v>
      </c>
      <c r="F70" s="3" t="str">
        <f>IF(LEN(ContactData!K69)&lt;3,"",ContactData!K69)</f>
        <v/>
      </c>
      <c r="G70"/>
      <c r="H70"/>
      <c r="I70"/>
      <c r="J70"/>
      <c r="K70"/>
      <c r="L70"/>
    </row>
    <row r="71" spans="1:12" ht="14.4" x14ac:dyDescent="0.3">
      <c r="A71" s="9" t="str">
        <f>IF(LEN(ContactData!H70)&lt;3,"",ContactData!H70)</f>
        <v>---</v>
      </c>
      <c r="B71" s="3" t="str">
        <f>ContactData!E70</f>
        <v>Aaron Ma</v>
      </c>
      <c r="C71" s="3" t="str">
        <f>ContactData!G70</f>
        <v>Property Manager</v>
      </c>
      <c r="D71" s="9" t="str">
        <f>IF(LEN(ContactData!I70)&lt;3,"",ContactData!I70)</f>
        <v>(416) 684-2236</v>
      </c>
      <c r="E71" s="3" t="str">
        <f>ContactData!J70</f>
        <v>(416) 279-0591</v>
      </c>
      <c r="F71" s="3" t="str">
        <f>IF(LEN(ContactData!K70)&lt;3,"",ContactData!K70)</f>
        <v>eq2manager@livingproperties.com</v>
      </c>
      <c r="G71"/>
      <c r="H71"/>
      <c r="I71"/>
      <c r="J71"/>
      <c r="K71"/>
      <c r="L71"/>
    </row>
    <row r="72" spans="1:12" ht="14.4" x14ac:dyDescent="0.3">
      <c r="A72" s="9" t="str">
        <f>IF(LEN(ContactData!H71)&lt;3,"",ContactData!H71)</f>
        <v>---</v>
      </c>
      <c r="B72" s="3" t="str">
        <f>ContactData!E71</f>
        <v xml:space="preserve">Security Desk </v>
      </c>
      <c r="C72" s="3" t="str">
        <f>ContactData!G71</f>
        <v xml:space="preserve">EQ2 Security Desk </v>
      </c>
      <c r="D72" s="9" t="str">
        <f>IF(LEN(ContactData!I71)&lt;3,"",ContactData!I71)</f>
        <v>---</v>
      </c>
      <c r="E72" s="3" t="str">
        <f>ContactData!J71</f>
        <v>(416) 279-1211</v>
      </c>
      <c r="F72" s="3" t="str">
        <f>IF(LEN(ContactData!K71)&lt;3,"",ContactData!K71)</f>
        <v>---</v>
      </c>
      <c r="G72"/>
      <c r="H72"/>
      <c r="I72"/>
      <c r="J72"/>
      <c r="K72"/>
      <c r="L72"/>
    </row>
    <row r="73" spans="1:12" ht="14.4" x14ac:dyDescent="0.3">
      <c r="A73" s="9" t="str">
        <f>IF(LEN(ContactData!H72)&lt;3,"",ContactData!H72)</f>
        <v/>
      </c>
      <c r="B73" s="3" t="str">
        <f>ContactData!E72</f>
        <v>Alton Tower Office</v>
      </c>
      <c r="C73" s="3" t="str">
        <f>ContactData!G72</f>
        <v>160 Alton Towers Cir, Toronto, ON, M1V 4X8</v>
      </c>
      <c r="D73" s="9" t="str">
        <f>IF(LEN(ContactData!I72)&lt;3,"",ContactData!I72)</f>
        <v/>
      </c>
      <c r="E73" s="3" t="str">
        <f>ContactData!J72</f>
        <v>T: (437)-533-1208</v>
      </c>
      <c r="F73" s="3" t="str">
        <f>IF(LEN(ContactData!K72)&lt;3,"",ContactData!K72)</f>
        <v/>
      </c>
      <c r="G73"/>
      <c r="H73"/>
      <c r="I73"/>
      <c r="J73"/>
      <c r="K73"/>
      <c r="L73"/>
    </row>
    <row r="74" spans="1:12" ht="14.4" x14ac:dyDescent="0.3">
      <c r="A74" s="9" t="str">
        <f>IF(LEN(ContactData!H73)&lt;3,"",ContactData!H73)</f>
        <v>---</v>
      </c>
      <c r="B74" s="3" t="str">
        <f>ContactData!E73</f>
        <v>Ken Kam</v>
      </c>
      <c r="C74" s="3" t="str">
        <f>ContactData!G73</f>
        <v>Property Manager</v>
      </c>
      <c r="D74" s="9" t="str">
        <f>IF(LEN(ContactData!I73)&lt;3,"",ContactData!I73)</f>
        <v>(647) 204-4455</v>
      </c>
      <c r="E74" s="3" t="str">
        <f>ContactData!J73</f>
        <v>(905) 477-2090</v>
      </c>
      <c r="F74" s="3" t="str">
        <f>IF(LEN(ContactData!K73)&lt;3,"",ContactData!K73)</f>
        <v>kenk@livingproperties.com</v>
      </c>
      <c r="G74"/>
      <c r="H74"/>
      <c r="I74"/>
      <c r="J74"/>
      <c r="K74"/>
      <c r="L74"/>
    </row>
    <row r="75" spans="1:12" ht="14.4" x14ac:dyDescent="0.3">
      <c r="A75" s="9" t="str">
        <f>IF(LEN(ContactData!H74)&lt;3,"",ContactData!H74)</f>
        <v>---</v>
      </c>
      <c r="B75" s="3" t="str">
        <f>ContactData!E74</f>
        <v>Christie Ip</v>
      </c>
      <c r="C75" s="3" t="str">
        <f>ContactData!G74</f>
        <v>Administrative Assistant</v>
      </c>
      <c r="D75" s="9" t="str">
        <f>IF(LEN(ContactData!I74)&lt;3,"",ContactData!I74)</f>
        <v>(437)-533-1208</v>
      </c>
      <c r="E75" s="3" t="str">
        <f>ContactData!J74</f>
        <v>---</v>
      </c>
      <c r="F75" s="3" t="str">
        <f>IF(LEN(ContactData!K74)&lt;3,"",ContactData!K74)</f>
        <v xml:space="preserve">optima2@livingproperties.com </v>
      </c>
      <c r="G75"/>
      <c r="H75"/>
      <c r="I75"/>
      <c r="J75"/>
      <c r="K75"/>
      <c r="L75"/>
    </row>
    <row r="76" spans="1:12" ht="14.4" x14ac:dyDescent="0.3">
      <c r="A76" s="9" t="str">
        <f>IF(LEN(ContactData!H75)&lt;3,"",ContactData!H75)</f>
        <v>---</v>
      </c>
      <c r="B76" s="3" t="str">
        <f>ContactData!E75</f>
        <v xml:space="preserve">Security Desk </v>
      </c>
      <c r="C76" s="3" t="str">
        <f>ContactData!G75</f>
        <v xml:space="preserve">Alton Tower Security Desk </v>
      </c>
      <c r="D76" s="9" t="str">
        <f>IF(LEN(ContactData!I75)&lt;3,"",ContactData!I75)</f>
        <v>---</v>
      </c>
      <c r="E76" s="3" t="str">
        <f>ContactData!J75</f>
        <v>(416) 754-3131</v>
      </c>
      <c r="F76" s="3" t="str">
        <f>IF(LEN(ContactData!K75)&lt;3,"",ContactData!K75)</f>
        <v>---</v>
      </c>
      <c r="G76"/>
      <c r="H76"/>
      <c r="I76"/>
      <c r="J76"/>
      <c r="K76"/>
      <c r="L76"/>
    </row>
    <row r="77" spans="1:12" ht="14.4" x14ac:dyDescent="0.3">
      <c r="A77" s="9" t="str">
        <f>IF(LEN(ContactData!H76)&lt;3,"",ContactData!H76)</f>
        <v/>
      </c>
      <c r="B77" s="3" t="str">
        <f>ContactData!E76</f>
        <v>IHMG Office</v>
      </c>
      <c r="C77" s="3" t="str">
        <f>ContactData!G76</f>
        <v>8 Steelcase Road West, Markham, ON, L3R 1B2</v>
      </c>
      <c r="D77" s="9" t="str">
        <f>IF(LEN(ContactData!I76)&lt;3,"",ContactData!I76)</f>
        <v/>
      </c>
      <c r="E77" s="3" t="str">
        <f>ContactData!J76</f>
        <v>T: (905) 475-6000</v>
      </c>
      <c r="F77" s="3" t="str">
        <f>IF(LEN(ContactData!K76)&lt;3,"",ContactData!K76)</f>
        <v>info@ihmg.ca</v>
      </c>
      <c r="G77"/>
      <c r="H77"/>
      <c r="I77"/>
      <c r="J77"/>
      <c r="K77"/>
      <c r="L77"/>
    </row>
    <row r="78" spans="1:12" ht="14.4" x14ac:dyDescent="0.3">
      <c r="A78" s="9" t="str">
        <f>IF(LEN(ContactData!H77)&lt;3,"",ContactData!H77)</f>
        <v/>
      </c>
      <c r="B78" s="3" t="str">
        <f>ContactData!E77</f>
        <v>IHMGRI Office</v>
      </c>
      <c r="C78" s="3" t="str">
        <f>ContactData!G77</f>
        <v>8 Steelcase Road West, Unit E, Markham, ON, L3R 1B2</v>
      </c>
      <c r="D78" s="9" t="str">
        <f>IF(LEN(ContactData!I77)&lt;3,"",ContactData!I77)</f>
        <v/>
      </c>
      <c r="E78" s="3" t="str">
        <f>ContactData!J77</f>
        <v>T: (905) 489-8989</v>
      </c>
      <c r="F78" s="3" t="str">
        <f>IF(LEN(ContactData!K77)&lt;3,"",ContactData!K77)</f>
        <v>realestate@ihmg.ca</v>
      </c>
      <c r="G78"/>
      <c r="H78"/>
      <c r="I78"/>
      <c r="J78"/>
      <c r="K78"/>
      <c r="L78"/>
    </row>
    <row r="79" spans="1:12" ht="14.4" x14ac:dyDescent="0.3">
      <c r="A79" s="9">
        <f>IF(LEN(ContactData!H78)&lt;3,"",ContactData!H78)</f>
        <v>120</v>
      </c>
      <c r="B79" s="3" t="str">
        <f>ContactData!E78</f>
        <v>Eddie Tang</v>
      </c>
      <c r="C79" s="3" t="str">
        <f>ContactData!G78</f>
        <v>Financial Controller</v>
      </c>
      <c r="D79" s="9" t="str">
        <f>IF(LEN(ContactData!I78)&lt;3,"",ContactData!I78)</f>
        <v>(416) 723-8329</v>
      </c>
      <c r="E79" s="3" t="str">
        <f>ContactData!J78</f>
        <v>(905) 489-0186</v>
      </c>
      <c r="F79" s="3" t="str">
        <f>IF(LEN(ContactData!K78)&lt;3,"",ContactData!K78)</f>
        <v>eddie@ihmg.ca</v>
      </c>
      <c r="G79"/>
      <c r="H79"/>
      <c r="I79"/>
      <c r="J79"/>
      <c r="K79"/>
      <c r="L79"/>
    </row>
    <row r="80" spans="1:12" ht="14.4" x14ac:dyDescent="0.3">
      <c r="A80" s="9">
        <f>IF(LEN(ContactData!H79)&lt;3,"",ContactData!H79)</f>
        <v>187</v>
      </c>
      <c r="B80" s="3" t="str">
        <f>ContactData!E79</f>
        <v>Lily Hou</v>
      </c>
      <c r="C80" s="3" t="str">
        <f>ContactData!G79</f>
        <v>Senior Accounting Analyst &amp; Operations Support</v>
      </c>
      <c r="D80" s="9" t="str">
        <f>IF(LEN(ContactData!I79)&lt;3,"",ContactData!I79)</f>
        <v>(647) 774-8994</v>
      </c>
      <c r="E80" s="3" t="str">
        <f>ContactData!J79</f>
        <v>---</v>
      </c>
      <c r="F80" s="3" t="str">
        <f>IF(LEN(ContactData!K79)&lt;3,"",ContactData!K79)</f>
        <v>lily@ihmg.ca</v>
      </c>
      <c r="G80"/>
      <c r="H80"/>
      <c r="I80"/>
      <c r="J80"/>
      <c r="K80"/>
      <c r="L80"/>
    </row>
    <row r="81" spans="1:12" ht="14.4" x14ac:dyDescent="0.3">
      <c r="A81" s="1"/>
      <c r="B81"/>
      <c r="C81"/>
      <c r="D81"/>
      <c r="E81"/>
      <c r="F81"/>
      <c r="G81"/>
      <c r="H81"/>
      <c r="I81"/>
      <c r="J81"/>
      <c r="K81"/>
      <c r="L81"/>
    </row>
    <row r="82" spans="1:12" ht="14.4" x14ac:dyDescent="0.3">
      <c r="A82" s="1"/>
      <c r="B82"/>
      <c r="C82"/>
      <c r="D82"/>
      <c r="E82"/>
      <c r="F82"/>
      <c r="G82"/>
      <c r="H82"/>
      <c r="I82"/>
      <c r="J82"/>
      <c r="K82"/>
      <c r="L82"/>
    </row>
    <row r="83" spans="1:12" ht="14.4" x14ac:dyDescent="0.3">
      <c r="A83" s="1"/>
      <c r="B83"/>
      <c r="C83"/>
      <c r="D83"/>
      <c r="E83"/>
      <c r="F83"/>
      <c r="G83"/>
      <c r="H83"/>
      <c r="I83"/>
      <c r="J83"/>
      <c r="K83"/>
      <c r="L83"/>
    </row>
    <row r="84" spans="1:12" ht="14.4" x14ac:dyDescent="0.3">
      <c r="A84" s="1"/>
      <c r="B84"/>
      <c r="C84"/>
      <c r="D84"/>
      <c r="E84"/>
      <c r="F84"/>
      <c r="G84"/>
      <c r="H84"/>
      <c r="I84"/>
      <c r="J84"/>
      <c r="K84"/>
      <c r="L84"/>
    </row>
    <row r="85" spans="1:12" ht="14.4" x14ac:dyDescent="0.3">
      <c r="A85" s="1"/>
      <c r="B85"/>
      <c r="C85"/>
      <c r="D85"/>
      <c r="E85"/>
      <c r="F85"/>
      <c r="G85"/>
      <c r="H85"/>
      <c r="I85"/>
      <c r="J85"/>
      <c r="K85"/>
      <c r="L85"/>
    </row>
    <row r="86" spans="1:12" ht="14.4" x14ac:dyDescent="0.3">
      <c r="A86" s="1"/>
      <c r="B86"/>
      <c r="C86"/>
      <c r="D86"/>
      <c r="E86"/>
      <c r="F86"/>
      <c r="G86"/>
      <c r="H86"/>
      <c r="I86"/>
      <c r="J86"/>
      <c r="K86"/>
      <c r="L86"/>
    </row>
    <row r="87" spans="1:12" ht="14.4" x14ac:dyDescent="0.3">
      <c r="A87" s="1"/>
      <c r="B87"/>
      <c r="C87"/>
      <c r="D87"/>
      <c r="E87"/>
      <c r="F87"/>
      <c r="G87"/>
      <c r="H87"/>
      <c r="I87"/>
      <c r="J87"/>
      <c r="K87"/>
      <c r="L87"/>
    </row>
    <row r="88" spans="1:12" ht="14.4" x14ac:dyDescent="0.3">
      <c r="A88" s="1"/>
      <c r="B88"/>
      <c r="C88"/>
      <c r="D88"/>
      <c r="E88"/>
      <c r="F88"/>
      <c r="G88"/>
      <c r="H88"/>
      <c r="I88"/>
      <c r="J88"/>
      <c r="K88"/>
      <c r="L88"/>
    </row>
    <row r="89" spans="1:12" ht="14.4" x14ac:dyDescent="0.3">
      <c r="A89" s="1"/>
      <c r="B89"/>
      <c r="C89"/>
      <c r="D89"/>
      <c r="E89"/>
      <c r="F89"/>
      <c r="G89"/>
      <c r="H89"/>
      <c r="I89"/>
      <c r="J89"/>
      <c r="K89"/>
      <c r="L89"/>
    </row>
    <row r="90" spans="1:12" ht="14.4" x14ac:dyDescent="0.3">
      <c r="A90" s="1"/>
      <c r="B90"/>
      <c r="C90"/>
      <c r="D90"/>
      <c r="E90"/>
      <c r="F90"/>
      <c r="G90"/>
      <c r="H90"/>
      <c r="I90"/>
      <c r="J90"/>
      <c r="K90"/>
      <c r="L90"/>
    </row>
    <row r="91" spans="1:12" ht="14.4" x14ac:dyDescent="0.3">
      <c r="A91" s="1"/>
      <c r="B91"/>
      <c r="C91"/>
      <c r="D91"/>
      <c r="E91"/>
      <c r="F91"/>
      <c r="G91"/>
      <c r="H91"/>
      <c r="I91"/>
      <c r="J91"/>
      <c r="K91"/>
      <c r="L91"/>
    </row>
    <row r="92" spans="1:12" ht="14.4" x14ac:dyDescent="0.3">
      <c r="A92" s="1"/>
      <c r="B92"/>
      <c r="C92"/>
      <c r="D92"/>
      <c r="E92"/>
      <c r="F92"/>
      <c r="G92"/>
      <c r="H92"/>
      <c r="I92"/>
      <c r="J92"/>
      <c r="K92"/>
      <c r="L92"/>
    </row>
    <row r="93" spans="1:12" ht="14.4" x14ac:dyDescent="0.3">
      <c r="A93" s="1"/>
      <c r="B93"/>
      <c r="C93"/>
      <c r="D93"/>
      <c r="E93"/>
      <c r="F93"/>
      <c r="G93"/>
      <c r="H93"/>
      <c r="I93"/>
      <c r="J93"/>
      <c r="K93"/>
      <c r="L93"/>
    </row>
    <row r="94" spans="1:12" ht="14.4" x14ac:dyDescent="0.3">
      <c r="A94" s="1"/>
      <c r="B94"/>
      <c r="C94"/>
      <c r="D94"/>
      <c r="E94"/>
      <c r="F94"/>
      <c r="G94"/>
      <c r="H94"/>
      <c r="I94"/>
      <c r="J94"/>
      <c r="K94"/>
      <c r="L94"/>
    </row>
    <row r="95" spans="1:12" ht="14.4" x14ac:dyDescent="0.3">
      <c r="A95" s="1"/>
      <c r="B95"/>
      <c r="C95"/>
      <c r="D95"/>
      <c r="E95"/>
      <c r="F95"/>
      <c r="G95"/>
      <c r="H95"/>
      <c r="I95"/>
      <c r="J95"/>
      <c r="K95"/>
      <c r="L95"/>
    </row>
    <row r="96" spans="1:12" ht="14.4" x14ac:dyDescent="0.3">
      <c r="A96" s="1"/>
      <c r="B96"/>
      <c r="C96"/>
      <c r="D96"/>
      <c r="E96"/>
      <c r="F96"/>
      <c r="G96"/>
      <c r="H96"/>
      <c r="I96"/>
      <c r="J96"/>
      <c r="K96"/>
      <c r="L96"/>
    </row>
    <row r="97" spans="1:12" ht="14.4" x14ac:dyDescent="0.3">
      <c r="A97" s="1"/>
      <c r="B97"/>
      <c r="C97"/>
      <c r="D97"/>
      <c r="E97"/>
      <c r="F97"/>
      <c r="G97"/>
      <c r="H97"/>
      <c r="I97"/>
      <c r="J97"/>
      <c r="K97"/>
      <c r="L97"/>
    </row>
    <row r="98" spans="1:12" ht="14.4" x14ac:dyDescent="0.3">
      <c r="A98" s="1"/>
      <c r="B98"/>
      <c r="C98"/>
      <c r="D98"/>
      <c r="E98"/>
      <c r="F98"/>
      <c r="G98"/>
      <c r="H98"/>
      <c r="I98"/>
      <c r="J98"/>
      <c r="K98"/>
      <c r="L98"/>
    </row>
    <row r="99" spans="1:12" ht="14.4" x14ac:dyDescent="0.3">
      <c r="A99" s="1"/>
      <c r="B99"/>
      <c r="C99"/>
      <c r="D99"/>
      <c r="E99"/>
      <c r="F99"/>
      <c r="G99"/>
      <c r="H99"/>
      <c r="I99"/>
      <c r="J99"/>
      <c r="K99"/>
      <c r="L99"/>
    </row>
    <row r="100" spans="1:12" ht="14.4" x14ac:dyDescent="0.3">
      <c r="A100" s="1"/>
      <c r="B100"/>
      <c r="C100"/>
      <c r="D100"/>
      <c r="E100"/>
      <c r="F100"/>
      <c r="G100"/>
      <c r="H100"/>
      <c r="I100"/>
      <c r="J100"/>
      <c r="K100"/>
      <c r="L100"/>
    </row>
    <row r="101" spans="1:12" ht="14.4" x14ac:dyDescent="0.3">
      <c r="A101" s="1"/>
      <c r="B101"/>
      <c r="C101"/>
      <c r="D101"/>
      <c r="E101"/>
      <c r="F101"/>
      <c r="G101"/>
      <c r="H101"/>
      <c r="I101"/>
      <c r="J101"/>
      <c r="K101"/>
      <c r="L101"/>
    </row>
    <row r="102" spans="1:12" ht="14.4" x14ac:dyDescent="0.3">
      <c r="A102" s="1"/>
      <c r="B102"/>
      <c r="C102"/>
      <c r="D102"/>
      <c r="E102"/>
      <c r="F102"/>
      <c r="G102"/>
      <c r="H102"/>
      <c r="I102"/>
      <c r="J102"/>
      <c r="K102"/>
      <c r="L102"/>
    </row>
    <row r="103" spans="1:12" ht="14.4" x14ac:dyDescent="0.3">
      <c r="A103" s="1"/>
      <c r="B103"/>
      <c r="C103"/>
      <c r="D103"/>
      <c r="E103"/>
      <c r="F103"/>
      <c r="G103"/>
      <c r="H103"/>
      <c r="I103"/>
      <c r="J103"/>
      <c r="K103"/>
      <c r="L103"/>
    </row>
    <row r="104" spans="1:12" ht="14.4" x14ac:dyDescent="0.3">
      <c r="A104" s="1"/>
      <c r="B104"/>
      <c r="C104"/>
      <c r="D104"/>
      <c r="E104"/>
      <c r="F104"/>
      <c r="G104"/>
      <c r="H104"/>
      <c r="I104"/>
      <c r="J104"/>
      <c r="K104"/>
      <c r="L104"/>
    </row>
    <row r="105" spans="1:12" ht="14.4" x14ac:dyDescent="0.3">
      <c r="A105" s="1"/>
      <c r="B105"/>
      <c r="C105"/>
      <c r="D105"/>
      <c r="E105"/>
      <c r="F105"/>
      <c r="G105"/>
      <c r="H105"/>
      <c r="I105"/>
      <c r="J105"/>
      <c r="K105"/>
      <c r="L105"/>
    </row>
    <row r="106" spans="1:12" ht="14.4" x14ac:dyDescent="0.3">
      <c r="A106" s="1"/>
      <c r="B106"/>
      <c r="C106"/>
      <c r="D106"/>
      <c r="E106"/>
      <c r="F106"/>
      <c r="G106"/>
      <c r="H106"/>
      <c r="I106"/>
      <c r="J106"/>
      <c r="K106"/>
      <c r="L106"/>
    </row>
    <row r="107" spans="1:12" ht="14.4" x14ac:dyDescent="0.3">
      <c r="A107" s="1"/>
      <c r="B107"/>
      <c r="C107"/>
      <c r="D107"/>
      <c r="E107"/>
      <c r="F107"/>
      <c r="G107"/>
      <c r="H107"/>
      <c r="I107"/>
      <c r="J107"/>
      <c r="K107"/>
      <c r="L107"/>
    </row>
    <row r="108" spans="1:12" ht="14.4" x14ac:dyDescent="0.3">
      <c r="A108" s="1"/>
      <c r="B108"/>
      <c r="C108"/>
      <c r="D108"/>
      <c r="E108"/>
      <c r="F108"/>
      <c r="G108"/>
      <c r="H108"/>
      <c r="I108"/>
      <c r="J108"/>
      <c r="K108"/>
      <c r="L108"/>
    </row>
    <row r="109" spans="1:12" ht="14.4" x14ac:dyDescent="0.3">
      <c r="A109" s="1"/>
      <c r="B109"/>
      <c r="C109"/>
      <c r="D109"/>
      <c r="E109"/>
      <c r="F109"/>
      <c r="G109"/>
      <c r="H109"/>
      <c r="I109"/>
      <c r="J109"/>
      <c r="K109"/>
      <c r="L109"/>
    </row>
    <row r="110" spans="1:12" ht="14.4" x14ac:dyDescent="0.3">
      <c r="A110" s="1"/>
      <c r="B110"/>
      <c r="C110"/>
      <c r="D110"/>
      <c r="E110"/>
      <c r="F110"/>
      <c r="G110"/>
      <c r="H110"/>
      <c r="I110"/>
      <c r="J110"/>
      <c r="K110"/>
      <c r="L110"/>
    </row>
    <row r="111" spans="1:12" ht="14.4" x14ac:dyDescent="0.3">
      <c r="A111" s="1"/>
      <c r="B111"/>
      <c r="C111"/>
      <c r="D111"/>
      <c r="E111"/>
      <c r="F111"/>
      <c r="G111"/>
      <c r="H111"/>
      <c r="I111"/>
      <c r="J111"/>
      <c r="K111"/>
      <c r="L111"/>
    </row>
    <row r="112" spans="1:12" ht="14.4" x14ac:dyDescent="0.3">
      <c r="A112" s="1"/>
      <c r="B112"/>
      <c r="C112"/>
      <c r="D112"/>
      <c r="E112"/>
      <c r="F112"/>
      <c r="G112"/>
      <c r="H112"/>
      <c r="I112"/>
      <c r="J112"/>
      <c r="K112"/>
      <c r="L112"/>
    </row>
    <row r="113" spans="1:12" ht="14.4" x14ac:dyDescent="0.3">
      <c r="A113" s="1"/>
      <c r="B113"/>
      <c r="C113"/>
      <c r="D113"/>
      <c r="E113"/>
      <c r="F113"/>
      <c r="G113"/>
      <c r="H113"/>
      <c r="I113"/>
      <c r="J113"/>
      <c r="K113"/>
      <c r="L113"/>
    </row>
    <row r="114" spans="1:12" ht="14.4" x14ac:dyDescent="0.3">
      <c r="A114" s="1"/>
      <c r="B114"/>
      <c r="C114"/>
      <c r="D114"/>
      <c r="E114"/>
      <c r="F114"/>
      <c r="G114"/>
      <c r="H114"/>
      <c r="I114"/>
      <c r="J114"/>
      <c r="K114"/>
      <c r="L114"/>
    </row>
    <row r="115" spans="1:12" ht="14.4" x14ac:dyDescent="0.3">
      <c r="A115" s="1"/>
      <c r="B115"/>
      <c r="C115"/>
      <c r="D115"/>
      <c r="E115"/>
      <c r="F115"/>
      <c r="G115"/>
      <c r="H115"/>
      <c r="I115"/>
      <c r="J115"/>
      <c r="K115"/>
      <c r="L115"/>
    </row>
    <row r="116" spans="1:12" ht="14.4" x14ac:dyDescent="0.3">
      <c r="A116" s="1"/>
      <c r="B116"/>
      <c r="C116"/>
      <c r="D116"/>
      <c r="E116"/>
      <c r="F116"/>
      <c r="G116"/>
      <c r="H116"/>
      <c r="I116"/>
      <c r="J116"/>
      <c r="K116"/>
      <c r="L116"/>
    </row>
    <row r="117" spans="1:12" ht="14.4" x14ac:dyDescent="0.3">
      <c r="A117" s="1"/>
      <c r="B117"/>
      <c r="C117"/>
      <c r="D117"/>
      <c r="E117"/>
      <c r="F117"/>
      <c r="G117"/>
      <c r="H117"/>
      <c r="I117"/>
      <c r="J117"/>
      <c r="K117"/>
      <c r="L117"/>
    </row>
    <row r="118" spans="1:12" ht="14.4" x14ac:dyDescent="0.3">
      <c r="A118" s="1"/>
      <c r="B118"/>
      <c r="C118"/>
      <c r="D118"/>
      <c r="E118"/>
      <c r="F118"/>
      <c r="G118"/>
      <c r="H118"/>
      <c r="I118"/>
      <c r="J118"/>
      <c r="K118"/>
      <c r="L118"/>
    </row>
    <row r="119" spans="1:12" ht="14.4" x14ac:dyDescent="0.3">
      <c r="A119" s="1"/>
      <c r="B119"/>
      <c r="C119"/>
      <c r="D119"/>
      <c r="E119"/>
      <c r="F119"/>
      <c r="G119"/>
      <c r="H119"/>
      <c r="I119"/>
      <c r="J119"/>
      <c r="K119"/>
      <c r="L119"/>
    </row>
    <row r="120" spans="1:12" ht="14.4" x14ac:dyDescent="0.3">
      <c r="A120" s="1"/>
      <c r="B120"/>
      <c r="C120"/>
      <c r="D120"/>
      <c r="E120"/>
      <c r="F120"/>
      <c r="G120"/>
      <c r="H120"/>
      <c r="I120"/>
      <c r="J120"/>
      <c r="K120"/>
      <c r="L120"/>
    </row>
    <row r="121" spans="1:12" ht="14.4" x14ac:dyDescent="0.3">
      <c r="A121" s="1"/>
      <c r="B121"/>
      <c r="C121"/>
      <c r="D121"/>
      <c r="E121"/>
      <c r="F121"/>
      <c r="G121"/>
      <c r="H121"/>
      <c r="I121"/>
      <c r="J121"/>
      <c r="K121"/>
      <c r="L121"/>
    </row>
    <row r="122" spans="1:12" ht="14.4" x14ac:dyDescent="0.3">
      <c r="A122" s="1"/>
      <c r="B122"/>
      <c r="C122"/>
      <c r="D122"/>
      <c r="E122"/>
      <c r="F122"/>
      <c r="G122"/>
      <c r="H122"/>
      <c r="I122"/>
      <c r="J122"/>
      <c r="K122"/>
      <c r="L122"/>
    </row>
    <row r="123" spans="1:12" ht="14.4" x14ac:dyDescent="0.3">
      <c r="A123" s="1"/>
      <c r="B123"/>
      <c r="C123"/>
      <c r="D123"/>
      <c r="E123"/>
      <c r="F123"/>
      <c r="G123"/>
      <c r="H123"/>
      <c r="I123"/>
      <c r="J123"/>
      <c r="K123"/>
      <c r="L123"/>
    </row>
    <row r="124" spans="1:12" ht="14.4" x14ac:dyDescent="0.3">
      <c r="A124" s="1"/>
      <c r="B124"/>
      <c r="C124"/>
      <c r="D124"/>
      <c r="E124"/>
      <c r="F124"/>
      <c r="G124"/>
      <c r="H124"/>
      <c r="I124"/>
      <c r="J124"/>
      <c r="K124"/>
      <c r="L124"/>
    </row>
    <row r="125" spans="1:12" ht="14.4" x14ac:dyDescent="0.3">
      <c r="A125" s="1"/>
      <c r="B125"/>
      <c r="C125"/>
      <c r="D125"/>
      <c r="E125"/>
      <c r="F125"/>
      <c r="G125"/>
      <c r="H125"/>
      <c r="I125"/>
      <c r="J125"/>
      <c r="K125"/>
      <c r="L125"/>
    </row>
    <row r="126" spans="1:12" ht="14.4" x14ac:dyDescent="0.3">
      <c r="A126" s="1"/>
      <c r="B126"/>
      <c r="C126"/>
      <c r="D126"/>
      <c r="E126"/>
      <c r="F126"/>
      <c r="G126"/>
      <c r="H126"/>
      <c r="I126"/>
      <c r="J126"/>
      <c r="K126"/>
      <c r="L126"/>
    </row>
    <row r="127" spans="1:12" ht="14.4" x14ac:dyDescent="0.3">
      <c r="A127" s="1"/>
      <c r="B127"/>
      <c r="C127"/>
      <c r="D127"/>
      <c r="E127"/>
      <c r="F127"/>
      <c r="G127"/>
      <c r="H127"/>
      <c r="I127"/>
      <c r="J127"/>
      <c r="K127"/>
      <c r="L127"/>
    </row>
    <row r="128" spans="1:12" ht="14.4" x14ac:dyDescent="0.3">
      <c r="A128" s="1"/>
      <c r="B128"/>
      <c r="C128"/>
      <c r="D128"/>
      <c r="E128"/>
      <c r="F128"/>
      <c r="G128"/>
      <c r="H128"/>
      <c r="I128"/>
      <c r="J128"/>
      <c r="K128"/>
      <c r="L128"/>
    </row>
    <row r="129" spans="1:12" ht="14.4" x14ac:dyDescent="0.3">
      <c r="A129" s="1"/>
      <c r="B129"/>
      <c r="C129"/>
      <c r="D129"/>
      <c r="E129"/>
      <c r="F129"/>
      <c r="G129"/>
      <c r="H129"/>
      <c r="I129"/>
      <c r="J129"/>
      <c r="K129"/>
      <c r="L129"/>
    </row>
    <row r="130" spans="1:12" ht="14.4" x14ac:dyDescent="0.3">
      <c r="A130" s="1"/>
      <c r="B130"/>
      <c r="C130"/>
      <c r="D130"/>
      <c r="E130"/>
      <c r="F130"/>
      <c r="G130"/>
      <c r="H130"/>
      <c r="I130"/>
      <c r="J130"/>
      <c r="K130"/>
      <c r="L130"/>
    </row>
    <row r="131" spans="1:12" ht="14.4" x14ac:dyDescent="0.3">
      <c r="A131" s="1"/>
      <c r="B131"/>
      <c r="C131"/>
      <c r="D131"/>
      <c r="E131"/>
      <c r="F131"/>
      <c r="G131"/>
      <c r="H131"/>
      <c r="I131"/>
      <c r="J131"/>
      <c r="K131"/>
      <c r="L131"/>
    </row>
    <row r="132" spans="1:12" ht="14.4" x14ac:dyDescent="0.3">
      <c r="A132" s="1"/>
      <c r="B132"/>
      <c r="C132"/>
      <c r="D132"/>
      <c r="E132"/>
      <c r="F132"/>
      <c r="G132"/>
      <c r="H132"/>
      <c r="I132"/>
      <c r="J132"/>
      <c r="K132"/>
      <c r="L132"/>
    </row>
    <row r="133" spans="1:12" ht="14.4" x14ac:dyDescent="0.3">
      <c r="A133" s="1"/>
      <c r="B133"/>
      <c r="C133"/>
      <c r="D133"/>
      <c r="E133"/>
      <c r="F133"/>
      <c r="G133"/>
      <c r="H133"/>
      <c r="I133"/>
      <c r="J133"/>
      <c r="K133"/>
      <c r="L133"/>
    </row>
    <row r="134" spans="1:12" ht="14.4" x14ac:dyDescent="0.3">
      <c r="A134" s="1"/>
      <c r="B134"/>
      <c r="C134"/>
      <c r="D134"/>
      <c r="E134"/>
      <c r="F134"/>
      <c r="G134"/>
      <c r="H134"/>
      <c r="I134"/>
      <c r="J134"/>
      <c r="K134"/>
      <c r="L134"/>
    </row>
    <row r="135" spans="1:12" ht="14.4" x14ac:dyDescent="0.3">
      <c r="A135" s="1"/>
      <c r="B135"/>
      <c r="C135"/>
      <c r="D135"/>
      <c r="E135"/>
      <c r="F135"/>
      <c r="G135"/>
      <c r="H135"/>
      <c r="I135"/>
      <c r="J135"/>
      <c r="K135"/>
      <c r="L135"/>
    </row>
    <row r="136" spans="1:12" ht="14.4" x14ac:dyDescent="0.3">
      <c r="A136" s="1"/>
      <c r="B136"/>
      <c r="C136"/>
      <c r="D136"/>
      <c r="E136"/>
      <c r="F136"/>
      <c r="G136"/>
      <c r="H136"/>
      <c r="I136"/>
      <c r="J136"/>
      <c r="K136"/>
      <c r="L136"/>
    </row>
    <row r="137" spans="1:12" ht="14.4" x14ac:dyDescent="0.3">
      <c r="A137" s="1"/>
      <c r="B137"/>
      <c r="C137"/>
      <c r="D137"/>
      <c r="E137"/>
      <c r="F137"/>
      <c r="G137"/>
      <c r="H137"/>
      <c r="I137"/>
      <c r="J137"/>
      <c r="K137"/>
      <c r="L137"/>
    </row>
    <row r="138" spans="1:12" ht="14.4" x14ac:dyDescent="0.3">
      <c r="A138" s="1"/>
      <c r="B138"/>
      <c r="C138"/>
      <c r="D138"/>
      <c r="E138"/>
      <c r="F138"/>
      <c r="G138"/>
      <c r="H138"/>
      <c r="I138"/>
      <c r="J138"/>
      <c r="K138"/>
      <c r="L138"/>
    </row>
    <row r="139" spans="1:12" ht="14.4" x14ac:dyDescent="0.3">
      <c r="A139" s="1"/>
      <c r="B139"/>
      <c r="C139"/>
      <c r="D139"/>
      <c r="E139"/>
      <c r="F139"/>
      <c r="G139"/>
      <c r="H139"/>
      <c r="I139"/>
      <c r="J139"/>
      <c r="K139"/>
      <c r="L139"/>
    </row>
    <row r="140" spans="1:12" ht="14.4" x14ac:dyDescent="0.3">
      <c r="A140" s="1"/>
      <c r="B140"/>
      <c r="C140"/>
      <c r="D140"/>
      <c r="E140"/>
      <c r="F140"/>
      <c r="G140"/>
      <c r="H140"/>
      <c r="I140"/>
      <c r="J140"/>
      <c r="K140"/>
      <c r="L140"/>
    </row>
    <row r="141" spans="1:12" ht="14.4" x14ac:dyDescent="0.3">
      <c r="A141" s="1"/>
      <c r="B141"/>
      <c r="C141"/>
      <c r="D141"/>
      <c r="E141"/>
      <c r="F141"/>
      <c r="G141"/>
      <c r="H141"/>
      <c r="I141"/>
      <c r="J141"/>
      <c r="K141"/>
      <c r="L141"/>
    </row>
    <row r="142" spans="1:12" ht="14.4" x14ac:dyDescent="0.3">
      <c r="A142" s="1"/>
      <c r="B142"/>
      <c r="C142"/>
      <c r="D142"/>
      <c r="E142"/>
      <c r="F142"/>
      <c r="G142"/>
      <c r="H142"/>
      <c r="I142"/>
      <c r="J142"/>
      <c r="K142"/>
      <c r="L142"/>
    </row>
    <row r="143" spans="1:12" ht="14.4" x14ac:dyDescent="0.3">
      <c r="A143" s="1"/>
      <c r="B143"/>
      <c r="C143"/>
      <c r="D143"/>
      <c r="E143"/>
      <c r="F143"/>
      <c r="G143"/>
      <c r="H143"/>
      <c r="I143"/>
      <c r="J143"/>
      <c r="K143"/>
      <c r="L143"/>
    </row>
    <row r="144" spans="1:12" ht="14.4" x14ac:dyDescent="0.3">
      <c r="A144" s="1"/>
      <c r="B144"/>
      <c r="C144"/>
      <c r="D144"/>
      <c r="E144"/>
      <c r="F144"/>
      <c r="G144"/>
      <c r="H144"/>
      <c r="I144"/>
      <c r="J144"/>
      <c r="K144"/>
      <c r="L144"/>
    </row>
    <row r="145" spans="1:12" ht="14.4" x14ac:dyDescent="0.3">
      <c r="A145" s="1"/>
      <c r="B145"/>
      <c r="C145"/>
      <c r="D145"/>
      <c r="E145"/>
      <c r="F145"/>
      <c r="G145"/>
      <c r="H145"/>
      <c r="I145"/>
      <c r="J145"/>
      <c r="K145"/>
      <c r="L145"/>
    </row>
    <row r="146" spans="1:12" ht="14.4" x14ac:dyDescent="0.3">
      <c r="A146" s="1"/>
      <c r="B146"/>
      <c r="C146"/>
      <c r="D146"/>
      <c r="E146"/>
      <c r="F146"/>
      <c r="G146"/>
      <c r="H146"/>
      <c r="I146"/>
      <c r="J146"/>
      <c r="K146"/>
      <c r="L146"/>
    </row>
    <row r="147" spans="1:12" ht="14.4" x14ac:dyDescent="0.3">
      <c r="A147" s="1"/>
      <c r="B147"/>
      <c r="C147"/>
      <c r="D147"/>
      <c r="E147"/>
      <c r="F147"/>
      <c r="G147"/>
      <c r="H147"/>
      <c r="I147"/>
      <c r="J147"/>
      <c r="K147"/>
      <c r="L147"/>
    </row>
    <row r="148" spans="1:12" ht="14.4" x14ac:dyDescent="0.3">
      <c r="A148" s="1"/>
      <c r="B148"/>
      <c r="C148"/>
      <c r="D148"/>
      <c r="E148"/>
      <c r="F148"/>
      <c r="G148"/>
      <c r="H148"/>
      <c r="I148"/>
      <c r="J148"/>
      <c r="K148"/>
      <c r="L148"/>
    </row>
    <row r="149" spans="1:12" ht="14.4" x14ac:dyDescent="0.3">
      <c r="A149" s="1"/>
      <c r="B149"/>
      <c r="C149"/>
      <c r="D149"/>
      <c r="E149"/>
      <c r="F149"/>
      <c r="G149"/>
      <c r="H149"/>
      <c r="I149"/>
      <c r="J149"/>
      <c r="K149"/>
      <c r="L149"/>
    </row>
    <row r="150" spans="1:12" ht="14.4" x14ac:dyDescent="0.3">
      <c r="A150" s="1"/>
      <c r="B150"/>
      <c r="C150"/>
      <c r="D150"/>
      <c r="E150"/>
      <c r="F150"/>
      <c r="G150"/>
      <c r="H150"/>
      <c r="I150"/>
      <c r="J150"/>
      <c r="K150"/>
      <c r="L150"/>
    </row>
    <row r="151" spans="1:12" ht="14.4" x14ac:dyDescent="0.3">
      <c r="A151" s="1"/>
      <c r="B151"/>
      <c r="C151"/>
      <c r="D151"/>
      <c r="E151"/>
      <c r="F151"/>
      <c r="G151"/>
      <c r="H151"/>
      <c r="I151"/>
      <c r="J151"/>
      <c r="K151"/>
      <c r="L151"/>
    </row>
    <row r="152" spans="1:12" ht="14.4" x14ac:dyDescent="0.3">
      <c r="A152" s="1"/>
      <c r="B152"/>
      <c r="C152"/>
      <c r="D152"/>
      <c r="E152"/>
      <c r="F152"/>
      <c r="G152"/>
      <c r="H152"/>
      <c r="I152"/>
      <c r="J152"/>
      <c r="K152"/>
      <c r="L152"/>
    </row>
    <row r="153" spans="1:12" ht="14.4" x14ac:dyDescent="0.3">
      <c r="A153" s="1"/>
      <c r="B153"/>
      <c r="C153"/>
      <c r="D153"/>
      <c r="E153"/>
      <c r="F153"/>
      <c r="G153"/>
      <c r="H153"/>
      <c r="I153"/>
      <c r="J153"/>
      <c r="K153"/>
      <c r="L153"/>
    </row>
    <row r="154" spans="1:12" ht="14.4" x14ac:dyDescent="0.3">
      <c r="A154" s="1"/>
      <c r="B154"/>
      <c r="C154"/>
      <c r="D154"/>
      <c r="E154"/>
      <c r="F154"/>
      <c r="G154"/>
      <c r="H154"/>
      <c r="I154"/>
      <c r="J154"/>
      <c r="K154"/>
      <c r="L154"/>
    </row>
    <row r="155" spans="1:12" ht="14.4" x14ac:dyDescent="0.3">
      <c r="A155" s="1"/>
      <c r="B155"/>
      <c r="C155"/>
      <c r="D155"/>
      <c r="E155"/>
      <c r="F155"/>
      <c r="G155"/>
      <c r="H155"/>
      <c r="I155"/>
      <c r="J155"/>
      <c r="K155"/>
      <c r="L155"/>
    </row>
    <row r="156" spans="1:12" ht="14.4" x14ac:dyDescent="0.3">
      <c r="A156" s="1"/>
      <c r="B156"/>
      <c r="C156"/>
      <c r="D156"/>
      <c r="E156"/>
      <c r="F156"/>
      <c r="G156"/>
      <c r="H156"/>
      <c r="I156"/>
      <c r="J156"/>
      <c r="K156"/>
      <c r="L156"/>
    </row>
    <row r="157" spans="1:12" ht="14.4" x14ac:dyDescent="0.3">
      <c r="A157" s="1"/>
      <c r="B157"/>
      <c r="C157"/>
      <c r="D157"/>
      <c r="E157"/>
      <c r="F157"/>
      <c r="G157"/>
      <c r="H157"/>
      <c r="I157"/>
      <c r="J157"/>
      <c r="K157"/>
      <c r="L157"/>
    </row>
    <row r="158" spans="1:12" ht="14.4" x14ac:dyDescent="0.3">
      <c r="A158" s="1"/>
      <c r="B158"/>
      <c r="C158"/>
      <c r="D158"/>
      <c r="E158"/>
      <c r="F158"/>
      <c r="G158"/>
      <c r="H158"/>
      <c r="I158"/>
      <c r="J158"/>
      <c r="K158"/>
      <c r="L158"/>
    </row>
    <row r="159" spans="1:12" ht="14.4" x14ac:dyDescent="0.3">
      <c r="A159" s="1"/>
      <c r="B159"/>
      <c r="C159"/>
      <c r="D159"/>
      <c r="E159"/>
      <c r="F159"/>
      <c r="G159"/>
      <c r="H159"/>
      <c r="I159"/>
      <c r="J159"/>
      <c r="K159"/>
      <c r="L159"/>
    </row>
    <row r="160" spans="1:12" ht="14.4" x14ac:dyDescent="0.3">
      <c r="A160" s="1"/>
      <c r="B160"/>
      <c r="C160"/>
      <c r="D160"/>
      <c r="E160"/>
      <c r="F160"/>
      <c r="G160"/>
      <c r="H160"/>
      <c r="I160"/>
      <c r="J160"/>
      <c r="K160"/>
      <c r="L160"/>
    </row>
    <row r="161" spans="1:12" ht="14.4" x14ac:dyDescent="0.3">
      <c r="A161" s="1"/>
      <c r="B161"/>
      <c r="C161"/>
      <c r="D161"/>
      <c r="E161"/>
      <c r="F161"/>
      <c r="G161"/>
      <c r="H161"/>
      <c r="I161"/>
      <c r="J161"/>
      <c r="K161"/>
      <c r="L161"/>
    </row>
    <row r="162" spans="1:12" ht="14.4" x14ac:dyDescent="0.3">
      <c r="A162" s="1"/>
      <c r="B162"/>
      <c r="C162"/>
      <c r="D162"/>
      <c r="E162"/>
      <c r="F162"/>
      <c r="G162"/>
      <c r="H162"/>
      <c r="I162"/>
      <c r="J162"/>
      <c r="K162"/>
      <c r="L162"/>
    </row>
    <row r="163" spans="1:12" ht="14.4" x14ac:dyDescent="0.3">
      <c r="A163" s="1"/>
      <c r="B163"/>
      <c r="C163"/>
      <c r="D163"/>
      <c r="E163"/>
      <c r="F163"/>
      <c r="G163"/>
      <c r="H163"/>
      <c r="I163"/>
      <c r="J163"/>
      <c r="K163"/>
      <c r="L163"/>
    </row>
    <row r="164" spans="1:12" ht="14.4" x14ac:dyDescent="0.3">
      <c r="A164" s="1"/>
      <c r="B164"/>
      <c r="C164"/>
      <c r="D164"/>
      <c r="E164"/>
      <c r="F164"/>
      <c r="G164"/>
      <c r="H164"/>
      <c r="I164"/>
      <c r="J164"/>
      <c r="K164"/>
      <c r="L164"/>
    </row>
    <row r="165" spans="1:12" ht="14.4" x14ac:dyDescent="0.3">
      <c r="A165" s="1"/>
      <c r="B165"/>
      <c r="C165"/>
      <c r="D165"/>
      <c r="E165"/>
      <c r="F165"/>
      <c r="G165"/>
      <c r="H165"/>
      <c r="I165"/>
      <c r="J165"/>
      <c r="K165"/>
      <c r="L165"/>
    </row>
    <row r="166" spans="1:12" ht="14.4" x14ac:dyDescent="0.3">
      <c r="A166" s="1"/>
      <c r="B166"/>
      <c r="C166"/>
      <c r="D166"/>
      <c r="E166"/>
      <c r="F166"/>
      <c r="G166"/>
      <c r="H166"/>
      <c r="I166"/>
      <c r="J166"/>
      <c r="K166"/>
      <c r="L166"/>
    </row>
    <row r="167" spans="1:12" ht="14.4" x14ac:dyDescent="0.3">
      <c r="A167" s="1"/>
      <c r="B167"/>
      <c r="C167"/>
      <c r="D167"/>
      <c r="E167"/>
      <c r="F167"/>
      <c r="G167"/>
      <c r="H167"/>
      <c r="I167"/>
      <c r="J167"/>
      <c r="K167"/>
      <c r="L167"/>
    </row>
    <row r="168" spans="1:12" ht="14.4" x14ac:dyDescent="0.3">
      <c r="A168" s="1"/>
      <c r="B168"/>
      <c r="C168"/>
      <c r="D168"/>
      <c r="E168"/>
      <c r="F168"/>
      <c r="G168"/>
      <c r="H168"/>
      <c r="I168"/>
      <c r="J168"/>
      <c r="K168"/>
      <c r="L168"/>
    </row>
    <row r="169" spans="1:12" ht="14.4" x14ac:dyDescent="0.3">
      <c r="A169" s="1"/>
      <c r="B169"/>
      <c r="C169"/>
      <c r="D169"/>
      <c r="E169"/>
      <c r="F169"/>
      <c r="G169"/>
      <c r="H169"/>
      <c r="I169"/>
      <c r="J169"/>
      <c r="K169"/>
      <c r="L169"/>
    </row>
    <row r="170" spans="1:12" ht="14.4" x14ac:dyDescent="0.3">
      <c r="A170" s="1"/>
      <c r="B170"/>
      <c r="C170"/>
      <c r="D170"/>
      <c r="E170"/>
      <c r="F170"/>
      <c r="G170"/>
      <c r="H170"/>
      <c r="I170"/>
      <c r="J170"/>
      <c r="K170"/>
      <c r="L170"/>
    </row>
    <row r="171" spans="1:12" ht="14.4" x14ac:dyDescent="0.3">
      <c r="A171" s="1"/>
      <c r="B171"/>
      <c r="C171"/>
      <c r="D171"/>
      <c r="E171"/>
      <c r="F171"/>
      <c r="G171"/>
      <c r="H171"/>
      <c r="I171"/>
      <c r="J171"/>
      <c r="K171"/>
      <c r="L171"/>
    </row>
    <row r="172" spans="1:12" ht="14.4" x14ac:dyDescent="0.3">
      <c r="A172" s="1"/>
      <c r="B172"/>
      <c r="C172"/>
      <c r="D172"/>
      <c r="E172"/>
      <c r="F172"/>
      <c r="G172"/>
      <c r="H172"/>
      <c r="I172"/>
      <c r="J172"/>
      <c r="K172"/>
      <c r="L172"/>
    </row>
    <row r="173" spans="1:12" ht="14.4" x14ac:dyDescent="0.3">
      <c r="A173" s="1"/>
      <c r="B173"/>
      <c r="C173"/>
      <c r="D173"/>
      <c r="E173"/>
      <c r="F173"/>
      <c r="G173"/>
      <c r="H173"/>
      <c r="I173"/>
      <c r="J173"/>
      <c r="K173"/>
      <c r="L173"/>
    </row>
    <row r="174" spans="1:12" ht="14.4" x14ac:dyDescent="0.3">
      <c r="A174" s="1"/>
      <c r="B174"/>
      <c r="C174"/>
      <c r="D174"/>
      <c r="E174"/>
      <c r="F174"/>
      <c r="G174"/>
      <c r="H174"/>
      <c r="I174"/>
      <c r="J174"/>
      <c r="K174"/>
      <c r="L174"/>
    </row>
    <row r="175" spans="1:12" ht="14.4" x14ac:dyDescent="0.3">
      <c r="A175" s="1"/>
      <c r="B175"/>
      <c r="C175"/>
      <c r="D175"/>
      <c r="E175"/>
      <c r="F175"/>
      <c r="G175"/>
      <c r="H175"/>
      <c r="I175"/>
      <c r="J175"/>
      <c r="K175"/>
      <c r="L175"/>
    </row>
    <row r="176" spans="1:12" ht="14.4" x14ac:dyDescent="0.3">
      <c r="A176" s="1"/>
      <c r="B176"/>
      <c r="C176"/>
      <c r="D176"/>
      <c r="E176"/>
      <c r="F176"/>
      <c r="G176"/>
      <c r="H176"/>
      <c r="I176"/>
      <c r="J176"/>
      <c r="K176"/>
      <c r="L176"/>
    </row>
    <row r="177" spans="1:12" ht="14.4" x14ac:dyDescent="0.3">
      <c r="A177" s="1"/>
      <c r="B177"/>
      <c r="C177"/>
      <c r="D177"/>
      <c r="E177"/>
      <c r="F177"/>
      <c r="G177"/>
      <c r="H177"/>
      <c r="I177"/>
      <c r="J177"/>
      <c r="K177"/>
      <c r="L177"/>
    </row>
    <row r="178" spans="1:12" ht="14.4" x14ac:dyDescent="0.3">
      <c r="A178" s="1"/>
      <c r="B178"/>
      <c r="C178"/>
      <c r="D178"/>
      <c r="E178"/>
      <c r="F178"/>
      <c r="G178"/>
      <c r="H178"/>
      <c r="I178"/>
      <c r="J178"/>
      <c r="K178"/>
      <c r="L178"/>
    </row>
    <row r="179" spans="1:12" ht="14.4" x14ac:dyDescent="0.3">
      <c r="A179" s="1"/>
      <c r="B179"/>
      <c r="C179"/>
      <c r="D179"/>
      <c r="E179"/>
      <c r="F179"/>
      <c r="G179"/>
      <c r="H179"/>
      <c r="I179"/>
      <c r="J179"/>
      <c r="K179"/>
      <c r="L179"/>
    </row>
    <row r="180" spans="1:12" ht="14.4" x14ac:dyDescent="0.3">
      <c r="A180" s="1"/>
      <c r="B180"/>
      <c r="C180"/>
      <c r="D180"/>
      <c r="E180"/>
      <c r="F180"/>
      <c r="G180"/>
      <c r="H180"/>
      <c r="I180"/>
      <c r="J180"/>
      <c r="K180"/>
      <c r="L180"/>
    </row>
    <row r="181" spans="1:12" ht="14.4" x14ac:dyDescent="0.3">
      <c r="A181" s="1"/>
      <c r="B181"/>
      <c r="C181"/>
      <c r="D181"/>
      <c r="E181"/>
      <c r="F181"/>
      <c r="G181"/>
      <c r="H181"/>
      <c r="I181"/>
      <c r="J181"/>
      <c r="K181"/>
      <c r="L181"/>
    </row>
    <row r="182" spans="1:12" ht="14.4" x14ac:dyDescent="0.3">
      <c r="A182" s="1"/>
      <c r="B182"/>
      <c r="C182"/>
      <c r="D182"/>
      <c r="E182"/>
      <c r="F182"/>
      <c r="G182"/>
      <c r="H182"/>
      <c r="I182"/>
      <c r="J182"/>
      <c r="K182"/>
      <c r="L182"/>
    </row>
    <row r="183" spans="1:12" ht="14.4" x14ac:dyDescent="0.3">
      <c r="A183" s="1"/>
      <c r="B183"/>
      <c r="C183"/>
      <c r="D183"/>
      <c r="E183"/>
      <c r="F183"/>
      <c r="G183"/>
      <c r="H183"/>
      <c r="I183"/>
      <c r="J183"/>
      <c r="K183"/>
      <c r="L183"/>
    </row>
    <row r="184" spans="1:12" ht="14.4" x14ac:dyDescent="0.3">
      <c r="A184" s="1"/>
      <c r="B184"/>
      <c r="C184"/>
      <c r="D184"/>
      <c r="E184"/>
      <c r="F184"/>
      <c r="G184"/>
      <c r="H184"/>
      <c r="I184"/>
      <c r="J184"/>
      <c r="K184"/>
      <c r="L184"/>
    </row>
    <row r="185" spans="1:12" ht="14.4" x14ac:dyDescent="0.3">
      <c r="A185" s="1"/>
      <c r="B185"/>
      <c r="C185"/>
      <c r="D185"/>
      <c r="E185"/>
      <c r="F185"/>
      <c r="G185"/>
      <c r="H185"/>
      <c r="I185"/>
      <c r="J185"/>
      <c r="K185"/>
      <c r="L185"/>
    </row>
    <row r="186" spans="1:12" ht="14.4" x14ac:dyDescent="0.3">
      <c r="A186" s="1"/>
      <c r="B186"/>
      <c r="C186"/>
      <c r="D186"/>
      <c r="E186"/>
      <c r="F186"/>
      <c r="G186"/>
      <c r="H186"/>
      <c r="I186"/>
      <c r="J186"/>
      <c r="K186"/>
      <c r="L186"/>
    </row>
    <row r="187" spans="1:12" ht="14.4" x14ac:dyDescent="0.3">
      <c r="A187" s="1"/>
      <c r="B187"/>
      <c r="C187"/>
      <c r="D187"/>
      <c r="E187"/>
      <c r="F187"/>
      <c r="G187"/>
      <c r="H187"/>
      <c r="I187"/>
      <c r="J187"/>
      <c r="K187"/>
      <c r="L187"/>
    </row>
    <row r="188" spans="1:12" ht="14.4" x14ac:dyDescent="0.3">
      <c r="A188" s="1"/>
      <c r="B188"/>
      <c r="C188"/>
      <c r="D188"/>
      <c r="E188"/>
      <c r="F188"/>
      <c r="G188"/>
      <c r="H188"/>
      <c r="I188"/>
      <c r="J188"/>
      <c r="K188"/>
      <c r="L188"/>
    </row>
    <row r="189" spans="1:12" ht="14.4" x14ac:dyDescent="0.3">
      <c r="A189" s="1"/>
      <c r="B189"/>
      <c r="C189"/>
      <c r="D189"/>
      <c r="E189"/>
      <c r="F189"/>
      <c r="G189"/>
      <c r="H189"/>
      <c r="I189"/>
      <c r="J189"/>
      <c r="K189"/>
      <c r="L189"/>
    </row>
    <row r="190" spans="1:12" ht="14.4" x14ac:dyDescent="0.3">
      <c r="A190" s="1"/>
      <c r="B190"/>
      <c r="C190"/>
      <c r="D190"/>
      <c r="E190"/>
      <c r="F190"/>
      <c r="G190"/>
      <c r="H190"/>
      <c r="I190"/>
      <c r="J190"/>
      <c r="K190"/>
      <c r="L190"/>
    </row>
    <row r="191" spans="1:12" ht="14.4" x14ac:dyDescent="0.3">
      <c r="A191" s="1"/>
      <c r="B191"/>
      <c r="C191"/>
      <c r="D191"/>
      <c r="E191"/>
      <c r="F191"/>
      <c r="G191"/>
      <c r="H191"/>
      <c r="I191"/>
      <c r="J191"/>
      <c r="K191"/>
      <c r="L191"/>
    </row>
    <row r="192" spans="1:12" ht="14.4" x14ac:dyDescent="0.3">
      <c r="A192" s="1"/>
      <c r="B192"/>
      <c r="C192"/>
      <c r="D192"/>
      <c r="E192"/>
      <c r="F192"/>
      <c r="G192"/>
      <c r="H192"/>
      <c r="I192"/>
      <c r="J192"/>
      <c r="K192"/>
      <c r="L192"/>
    </row>
    <row r="193" spans="1:12" ht="14.4" x14ac:dyDescent="0.3">
      <c r="A193" s="1"/>
      <c r="B193"/>
      <c r="C193"/>
      <c r="D193"/>
      <c r="E193"/>
      <c r="F193"/>
      <c r="G193"/>
      <c r="H193"/>
      <c r="I193"/>
      <c r="J193"/>
      <c r="K193"/>
      <c r="L193"/>
    </row>
    <row r="194" spans="1:12" ht="14.4" x14ac:dyDescent="0.3">
      <c r="A194" s="1"/>
      <c r="B194"/>
      <c r="C194"/>
      <c r="D194"/>
      <c r="E194"/>
      <c r="F194"/>
      <c r="G194"/>
      <c r="H194"/>
      <c r="I194"/>
      <c r="J194"/>
      <c r="K194"/>
      <c r="L194"/>
    </row>
    <row r="195" spans="1:12" ht="14.4" x14ac:dyDescent="0.3">
      <c r="A195" s="1"/>
      <c r="B195"/>
      <c r="C195"/>
      <c r="D195"/>
      <c r="E195"/>
      <c r="F195"/>
      <c r="G195"/>
      <c r="H195"/>
      <c r="I195"/>
      <c r="J195"/>
      <c r="K195"/>
      <c r="L195"/>
    </row>
    <row r="196" spans="1:12" ht="14.4" x14ac:dyDescent="0.3">
      <c r="A196" s="1"/>
      <c r="B196"/>
      <c r="C196"/>
      <c r="D196"/>
      <c r="E196"/>
      <c r="F196"/>
      <c r="G196"/>
      <c r="H196"/>
      <c r="I196"/>
      <c r="J196"/>
      <c r="K196"/>
      <c r="L196"/>
    </row>
    <row r="197" spans="1:12" ht="14.4" x14ac:dyDescent="0.3">
      <c r="A197" s="1"/>
      <c r="B197"/>
      <c r="C197"/>
      <c r="D197"/>
      <c r="E197"/>
      <c r="F197"/>
      <c r="G197"/>
      <c r="H197"/>
      <c r="I197"/>
      <c r="J197"/>
      <c r="K197"/>
      <c r="L197"/>
    </row>
    <row r="198" spans="1:12" ht="14.4" x14ac:dyDescent="0.3">
      <c r="A198" s="1"/>
      <c r="B198"/>
      <c r="C198"/>
      <c r="D198"/>
      <c r="E198"/>
      <c r="F198"/>
      <c r="G198"/>
      <c r="H198"/>
      <c r="I198"/>
      <c r="J198"/>
      <c r="K198"/>
      <c r="L198"/>
    </row>
    <row r="199" spans="1:12" ht="14.4" x14ac:dyDescent="0.3">
      <c r="A199" s="1"/>
      <c r="B199"/>
      <c r="C199"/>
      <c r="D199"/>
      <c r="E199"/>
      <c r="F199"/>
      <c r="G199"/>
      <c r="H199"/>
      <c r="I199"/>
      <c r="J199"/>
      <c r="K199"/>
      <c r="L199"/>
    </row>
    <row r="200" spans="1:12" ht="14.4" x14ac:dyDescent="0.3">
      <c r="A200" s="1"/>
      <c r="B200"/>
      <c r="C200"/>
      <c r="D200"/>
      <c r="E200"/>
      <c r="F200"/>
      <c r="G200"/>
      <c r="H200"/>
      <c r="I200"/>
      <c r="J200"/>
      <c r="K200"/>
      <c r="L200"/>
    </row>
    <row r="201" spans="1:12" ht="14.4" x14ac:dyDescent="0.3">
      <c r="A201" s="1"/>
      <c r="B201"/>
      <c r="C201"/>
      <c r="D201"/>
      <c r="E201"/>
      <c r="F201"/>
      <c r="G201"/>
      <c r="H201"/>
      <c r="I201"/>
      <c r="J201"/>
      <c r="K201"/>
      <c r="L201"/>
    </row>
    <row r="202" spans="1:12" ht="14.4" x14ac:dyDescent="0.3">
      <c r="A202" s="1"/>
      <c r="B202"/>
      <c r="C202"/>
      <c r="D202"/>
      <c r="E202"/>
      <c r="F202"/>
      <c r="G202"/>
      <c r="H202"/>
      <c r="I202"/>
      <c r="J202"/>
      <c r="K202"/>
      <c r="L202"/>
    </row>
    <row r="203" spans="1:12" ht="14.4" x14ac:dyDescent="0.3">
      <c r="A203" s="1"/>
      <c r="B203"/>
      <c r="C203"/>
      <c r="D203"/>
      <c r="E203"/>
      <c r="F203"/>
      <c r="G203"/>
      <c r="H203"/>
      <c r="I203"/>
      <c r="J203"/>
      <c r="K203"/>
      <c r="L203"/>
    </row>
    <row r="204" spans="1:12" ht="14.4" x14ac:dyDescent="0.3">
      <c r="A204" s="1"/>
      <c r="B204"/>
      <c r="C204"/>
      <c r="D204"/>
      <c r="E204"/>
      <c r="F204"/>
      <c r="G204"/>
      <c r="H204"/>
      <c r="I204"/>
      <c r="J204"/>
      <c r="K204"/>
      <c r="L204"/>
    </row>
    <row r="205" spans="1:12" ht="14.4" x14ac:dyDescent="0.3">
      <c r="A205" s="1"/>
      <c r="B205"/>
      <c r="C205"/>
      <c r="D205"/>
      <c r="E205"/>
      <c r="F205"/>
      <c r="G205"/>
      <c r="H205"/>
      <c r="I205"/>
      <c r="J205"/>
      <c r="K205"/>
      <c r="L205"/>
    </row>
    <row r="206" spans="1:12" ht="14.4" x14ac:dyDescent="0.3">
      <c r="A206" s="1"/>
      <c r="B206"/>
      <c r="C206"/>
      <c r="D206"/>
      <c r="E206"/>
      <c r="F206"/>
      <c r="G206"/>
      <c r="H206"/>
      <c r="I206"/>
      <c r="J206"/>
      <c r="K206"/>
      <c r="L206"/>
    </row>
    <row r="207" spans="1:12" ht="14.4" x14ac:dyDescent="0.3">
      <c r="A207" s="1"/>
      <c r="B207"/>
      <c r="C207"/>
      <c r="D207"/>
      <c r="E207"/>
      <c r="F207"/>
      <c r="G207"/>
      <c r="H207"/>
      <c r="I207"/>
      <c r="J207"/>
      <c r="K207"/>
      <c r="L207"/>
    </row>
    <row r="208" spans="1:12" ht="14.4" x14ac:dyDescent="0.3">
      <c r="A208" s="1"/>
      <c r="B208"/>
      <c r="C208"/>
      <c r="D208"/>
      <c r="E208"/>
      <c r="F208"/>
      <c r="G208"/>
      <c r="H208"/>
      <c r="I208"/>
      <c r="J208"/>
      <c r="K208"/>
      <c r="L208"/>
    </row>
    <row r="209" spans="1:12" ht="14.4" x14ac:dyDescent="0.3">
      <c r="A209" s="1"/>
      <c r="B209"/>
      <c r="C209"/>
      <c r="D209"/>
      <c r="E209"/>
      <c r="F209"/>
      <c r="G209"/>
      <c r="H209"/>
      <c r="I209"/>
      <c r="J209"/>
      <c r="K209"/>
      <c r="L209"/>
    </row>
    <row r="210" spans="1:12" ht="14.4" x14ac:dyDescent="0.3">
      <c r="A210" s="1"/>
      <c r="B210"/>
      <c r="C210"/>
      <c r="D210"/>
      <c r="E210"/>
      <c r="F210"/>
      <c r="G210"/>
      <c r="H210"/>
      <c r="I210"/>
      <c r="J210"/>
      <c r="K210"/>
      <c r="L210"/>
    </row>
    <row r="211" spans="1:12" ht="14.4" x14ac:dyDescent="0.3">
      <c r="A211" s="1"/>
      <c r="B211"/>
      <c r="C211"/>
      <c r="D211"/>
      <c r="E211"/>
      <c r="F211"/>
      <c r="G211"/>
      <c r="H211"/>
      <c r="I211"/>
      <c r="J211"/>
      <c r="K211"/>
      <c r="L211"/>
    </row>
    <row r="212" spans="1:12" ht="14.4" x14ac:dyDescent="0.3">
      <c r="A212" s="1"/>
      <c r="B212"/>
      <c r="C212"/>
      <c r="D212"/>
      <c r="E212"/>
      <c r="F212"/>
      <c r="G212"/>
      <c r="H212"/>
      <c r="I212"/>
      <c r="J212"/>
      <c r="K212"/>
      <c r="L212"/>
    </row>
    <row r="213" spans="1:12" ht="14.4" x14ac:dyDescent="0.3">
      <c r="A213" s="1"/>
      <c r="B213"/>
      <c r="C213"/>
      <c r="D213"/>
      <c r="E213"/>
      <c r="F213"/>
      <c r="G213"/>
      <c r="H213"/>
      <c r="I213"/>
      <c r="J213"/>
      <c r="K213"/>
      <c r="L213"/>
    </row>
    <row r="214" spans="1:12" ht="14.4" x14ac:dyDescent="0.3">
      <c r="A214" s="1"/>
      <c r="B214"/>
      <c r="C214"/>
      <c r="D214"/>
      <c r="E214"/>
      <c r="F214"/>
      <c r="G214"/>
      <c r="H214"/>
      <c r="I214"/>
      <c r="J214"/>
      <c r="K214"/>
      <c r="L214"/>
    </row>
    <row r="215" spans="1:12" ht="14.4" x14ac:dyDescent="0.3">
      <c r="A215" s="1"/>
      <c r="B215"/>
      <c r="C215"/>
      <c r="D215"/>
      <c r="E215"/>
      <c r="F215"/>
      <c r="G215"/>
      <c r="H215"/>
      <c r="I215"/>
      <c r="J215"/>
      <c r="K215"/>
      <c r="L215"/>
    </row>
    <row r="216" spans="1:12" ht="14.4" x14ac:dyDescent="0.3">
      <c r="A216" s="1"/>
      <c r="B216"/>
      <c r="C216"/>
      <c r="D216"/>
      <c r="E216"/>
      <c r="F216"/>
      <c r="G216"/>
      <c r="H216"/>
      <c r="I216"/>
      <c r="J216"/>
      <c r="K216"/>
      <c r="L216"/>
    </row>
    <row r="217" spans="1:12" ht="14.4" x14ac:dyDescent="0.3">
      <c r="A217" s="1"/>
      <c r="B217"/>
      <c r="C217"/>
      <c r="D217"/>
      <c r="E217"/>
      <c r="F217"/>
      <c r="G217"/>
      <c r="H217"/>
      <c r="I217"/>
      <c r="J217"/>
      <c r="K217"/>
      <c r="L217"/>
    </row>
    <row r="218" spans="1:12" ht="14.4" x14ac:dyDescent="0.3">
      <c r="A218" s="1"/>
      <c r="B218"/>
      <c r="C218"/>
      <c r="D218"/>
      <c r="E218"/>
      <c r="F218"/>
      <c r="G218"/>
      <c r="H218"/>
      <c r="I218"/>
      <c r="J218"/>
      <c r="K218"/>
      <c r="L218"/>
    </row>
    <row r="219" spans="1:12" ht="14.4" x14ac:dyDescent="0.3">
      <c r="A219" s="1"/>
      <c r="B219"/>
      <c r="C219"/>
      <c r="D219"/>
      <c r="E219"/>
      <c r="F219"/>
      <c r="G219"/>
      <c r="H219"/>
      <c r="I219"/>
      <c r="J219"/>
      <c r="K219"/>
      <c r="L219"/>
    </row>
    <row r="220" spans="1:12" ht="14.4" x14ac:dyDescent="0.3">
      <c r="A220" s="1"/>
      <c r="B220"/>
      <c r="C220"/>
      <c r="D220"/>
      <c r="E220"/>
      <c r="F220"/>
      <c r="G220"/>
      <c r="H220"/>
      <c r="I220"/>
      <c r="J220"/>
      <c r="K220"/>
      <c r="L220"/>
    </row>
    <row r="221" spans="1:12" ht="14.4" x14ac:dyDescent="0.3">
      <c r="A221" s="1"/>
      <c r="B221"/>
      <c r="C221"/>
      <c r="D221"/>
      <c r="E221"/>
      <c r="F221"/>
      <c r="G221"/>
      <c r="H221"/>
      <c r="I221"/>
      <c r="J221"/>
      <c r="K221"/>
      <c r="L221"/>
    </row>
    <row r="222" spans="1:12" ht="14.4" x14ac:dyDescent="0.3">
      <c r="A222" s="1"/>
      <c r="B222"/>
      <c r="C222"/>
      <c r="D222"/>
      <c r="E222"/>
      <c r="F222"/>
      <c r="G222"/>
      <c r="H222"/>
      <c r="I222"/>
      <c r="J222"/>
      <c r="K222"/>
      <c r="L222"/>
    </row>
    <row r="223" spans="1:12" ht="14.4" x14ac:dyDescent="0.3">
      <c r="A223" s="1"/>
      <c r="B223"/>
      <c r="C223"/>
      <c r="D223"/>
      <c r="E223"/>
      <c r="F223"/>
      <c r="G223"/>
      <c r="H223"/>
      <c r="I223"/>
      <c r="J223"/>
      <c r="K223"/>
      <c r="L223"/>
    </row>
    <row r="224" spans="1:12" ht="14.4" x14ac:dyDescent="0.3">
      <c r="A224" s="1"/>
      <c r="B224"/>
      <c r="C224"/>
      <c r="D224"/>
      <c r="E224"/>
      <c r="F224"/>
      <c r="G224"/>
      <c r="H224"/>
      <c r="I224"/>
      <c r="J224"/>
      <c r="K224"/>
      <c r="L224"/>
    </row>
    <row r="225" spans="1:12" ht="14.4" x14ac:dyDescent="0.3">
      <c r="A225" s="1"/>
      <c r="B225"/>
      <c r="C225"/>
      <c r="D225"/>
      <c r="E225"/>
      <c r="F225"/>
      <c r="G225"/>
      <c r="H225"/>
      <c r="I225"/>
      <c r="J225"/>
      <c r="K225"/>
      <c r="L225"/>
    </row>
    <row r="226" spans="1:12" ht="14.4" x14ac:dyDescent="0.3">
      <c r="A226" s="1"/>
      <c r="B226"/>
      <c r="C226"/>
      <c r="D226"/>
      <c r="E226"/>
      <c r="F226"/>
      <c r="G226"/>
      <c r="H226"/>
      <c r="I226"/>
      <c r="J226"/>
      <c r="K226"/>
      <c r="L226"/>
    </row>
    <row r="227" spans="1:12" ht="14.4" x14ac:dyDescent="0.3">
      <c r="A227" s="1"/>
      <c r="B227"/>
      <c r="C227"/>
      <c r="D227"/>
      <c r="E227"/>
      <c r="F227"/>
      <c r="G227"/>
      <c r="H227"/>
      <c r="I227"/>
      <c r="J227"/>
      <c r="K227"/>
      <c r="L227"/>
    </row>
    <row r="228" spans="1:12" ht="14.4" x14ac:dyDescent="0.3">
      <c r="A228" s="1"/>
      <c r="B228"/>
      <c r="C228"/>
      <c r="D228"/>
      <c r="E228"/>
      <c r="F228"/>
      <c r="G228"/>
      <c r="H228"/>
      <c r="I228"/>
      <c r="J228"/>
      <c r="K228"/>
      <c r="L228"/>
    </row>
    <row r="229" spans="1:12" ht="14.4" x14ac:dyDescent="0.3">
      <c r="A229" s="1"/>
      <c r="B229"/>
      <c r="C229"/>
      <c r="D229"/>
      <c r="E229"/>
      <c r="F229"/>
      <c r="G229"/>
      <c r="H229"/>
      <c r="I229"/>
      <c r="J229"/>
      <c r="K229"/>
      <c r="L229"/>
    </row>
    <row r="230" spans="1:12" ht="14.4" x14ac:dyDescent="0.3">
      <c r="A230" s="1"/>
      <c r="B230"/>
      <c r="C230"/>
      <c r="D230"/>
      <c r="E230"/>
      <c r="F230"/>
      <c r="G230"/>
      <c r="H230"/>
      <c r="I230"/>
      <c r="J230"/>
      <c r="K230"/>
      <c r="L230"/>
    </row>
    <row r="231" spans="1:12" ht="14.4" x14ac:dyDescent="0.3">
      <c r="A231" s="1"/>
      <c r="B231"/>
      <c r="C231"/>
      <c r="D231"/>
      <c r="E231"/>
      <c r="F231"/>
      <c r="G231"/>
      <c r="H231"/>
      <c r="I231"/>
      <c r="J231"/>
      <c r="K231"/>
      <c r="L231"/>
    </row>
    <row r="232" spans="1:12" ht="14.4" x14ac:dyDescent="0.3">
      <c r="A232" s="1"/>
      <c r="B232"/>
      <c r="C232"/>
      <c r="D232"/>
      <c r="E232"/>
      <c r="F232"/>
      <c r="G232"/>
      <c r="H232"/>
      <c r="I232"/>
      <c r="J232"/>
      <c r="K232"/>
      <c r="L232"/>
    </row>
    <row r="233" spans="1:12" ht="14.4" x14ac:dyDescent="0.3">
      <c r="A233" s="1"/>
      <c r="B233"/>
      <c r="C233"/>
      <c r="D233"/>
      <c r="E233"/>
      <c r="F233"/>
      <c r="G233"/>
      <c r="H233"/>
      <c r="I233"/>
      <c r="J233"/>
      <c r="K233"/>
      <c r="L233"/>
    </row>
    <row r="234" spans="1:12" ht="14.4" x14ac:dyDescent="0.3">
      <c r="A234" s="1"/>
      <c r="B234"/>
      <c r="C234"/>
      <c r="D234"/>
      <c r="E234"/>
      <c r="F234"/>
      <c r="G234"/>
      <c r="H234"/>
      <c r="I234"/>
      <c r="J234"/>
      <c r="K234"/>
      <c r="L234"/>
    </row>
    <row r="235" spans="1:12" ht="14.4" x14ac:dyDescent="0.3">
      <c r="A235" s="1"/>
      <c r="B235"/>
      <c r="C235"/>
      <c r="D235"/>
      <c r="E235"/>
      <c r="F235"/>
      <c r="G235"/>
      <c r="H235"/>
      <c r="I235"/>
      <c r="J235"/>
      <c r="K235"/>
      <c r="L235"/>
    </row>
    <row r="236" spans="1:12" ht="14.4" x14ac:dyDescent="0.3">
      <c r="A236" s="1"/>
      <c r="B236"/>
      <c r="C236"/>
      <c r="D236"/>
      <c r="E236"/>
      <c r="F236"/>
      <c r="G236"/>
      <c r="H236"/>
      <c r="I236"/>
      <c r="J236"/>
      <c r="K236"/>
      <c r="L236"/>
    </row>
    <row r="237" spans="1:12" ht="14.4" x14ac:dyDescent="0.3">
      <c r="A237" s="1"/>
      <c r="B237"/>
      <c r="C237"/>
      <c r="D237"/>
      <c r="E237"/>
      <c r="F237"/>
      <c r="G237"/>
      <c r="H237"/>
      <c r="I237"/>
      <c r="J237"/>
      <c r="K237"/>
      <c r="L237"/>
    </row>
    <row r="238" spans="1:12" ht="14.4" x14ac:dyDescent="0.3">
      <c r="A238" s="1"/>
      <c r="B238"/>
      <c r="C238"/>
      <c r="D238"/>
      <c r="E238"/>
      <c r="F238"/>
      <c r="G238"/>
      <c r="H238"/>
      <c r="I238"/>
      <c r="J238"/>
      <c r="K238"/>
      <c r="L238"/>
    </row>
    <row r="239" spans="1:12" ht="14.4" x14ac:dyDescent="0.3">
      <c r="A239" s="1"/>
      <c r="B239"/>
      <c r="C239"/>
      <c r="D239"/>
      <c r="E239"/>
      <c r="F239"/>
      <c r="G239"/>
      <c r="H239"/>
      <c r="I239"/>
      <c r="J239"/>
      <c r="K239"/>
      <c r="L239"/>
    </row>
    <row r="240" spans="1:12" ht="14.4" x14ac:dyDescent="0.3">
      <c r="A240" s="1"/>
      <c r="B240"/>
      <c r="C240"/>
      <c r="D240"/>
      <c r="E240"/>
      <c r="F240"/>
      <c r="G240"/>
      <c r="H240"/>
      <c r="I240"/>
      <c r="J240"/>
      <c r="K240"/>
      <c r="L240"/>
    </row>
    <row r="241" spans="1:12" ht="14.4" x14ac:dyDescent="0.3">
      <c r="A241" s="1"/>
      <c r="B241"/>
      <c r="C241"/>
      <c r="D241"/>
      <c r="E241"/>
      <c r="F241"/>
      <c r="G241"/>
      <c r="H241"/>
      <c r="I241"/>
      <c r="J241"/>
      <c r="K241"/>
      <c r="L241"/>
    </row>
    <row r="242" spans="1:12" ht="14.4" x14ac:dyDescent="0.3">
      <c r="A242" s="1"/>
      <c r="B242"/>
      <c r="C242"/>
      <c r="D242"/>
      <c r="E242"/>
      <c r="F242"/>
      <c r="G242"/>
      <c r="H242"/>
      <c r="I242"/>
      <c r="J242"/>
      <c r="K242"/>
      <c r="L242"/>
    </row>
    <row r="243" spans="1:12" ht="14.4" x14ac:dyDescent="0.3">
      <c r="A243" s="1"/>
      <c r="B243"/>
      <c r="C243"/>
      <c r="D243"/>
      <c r="E243"/>
      <c r="F243"/>
      <c r="G243"/>
      <c r="H243"/>
      <c r="I243"/>
      <c r="J243"/>
      <c r="K243"/>
      <c r="L243"/>
    </row>
    <row r="244" spans="1:12" ht="14.4" x14ac:dyDescent="0.3">
      <c r="A244" s="1"/>
      <c r="B244"/>
      <c r="C244"/>
      <c r="D244"/>
      <c r="E244"/>
      <c r="F244"/>
      <c r="G244"/>
      <c r="H244"/>
      <c r="I244"/>
      <c r="J244"/>
      <c r="K244"/>
      <c r="L244"/>
    </row>
    <row r="245" spans="1:12" ht="14.4" x14ac:dyDescent="0.3">
      <c r="A245" s="1"/>
      <c r="B245"/>
      <c r="C245"/>
      <c r="D245"/>
      <c r="E245"/>
      <c r="F245"/>
      <c r="G245"/>
      <c r="H245"/>
      <c r="I245"/>
      <c r="J245"/>
      <c r="K245"/>
      <c r="L245"/>
    </row>
    <row r="246" spans="1:12" ht="14.4" x14ac:dyDescent="0.3">
      <c r="A246" s="1"/>
      <c r="B246"/>
      <c r="C246"/>
      <c r="D246"/>
      <c r="E246"/>
      <c r="F246"/>
      <c r="G246"/>
      <c r="H246"/>
      <c r="I246"/>
      <c r="J246"/>
      <c r="K246"/>
      <c r="L246"/>
    </row>
    <row r="247" spans="1:12" ht="14.4" x14ac:dyDescent="0.3">
      <c r="A247" s="1"/>
      <c r="B247"/>
      <c r="C247"/>
      <c r="D247"/>
      <c r="E247"/>
      <c r="F247"/>
      <c r="G247"/>
      <c r="H247"/>
      <c r="I247"/>
      <c r="J247"/>
      <c r="K247"/>
      <c r="L247"/>
    </row>
    <row r="248" spans="1:12" ht="14.4" x14ac:dyDescent="0.3">
      <c r="A248" s="1"/>
      <c r="B248"/>
      <c r="C248"/>
      <c r="D248"/>
      <c r="E248"/>
      <c r="F248"/>
      <c r="G248"/>
      <c r="H248"/>
      <c r="I248"/>
      <c r="J248"/>
      <c r="K248"/>
      <c r="L248"/>
    </row>
    <row r="249" spans="1:12" ht="14.4" x14ac:dyDescent="0.3">
      <c r="A249" s="1"/>
      <c r="B249"/>
      <c r="C249"/>
      <c r="D249"/>
      <c r="E249"/>
      <c r="F249"/>
      <c r="G249"/>
      <c r="H249"/>
      <c r="I249"/>
      <c r="J249"/>
      <c r="K249"/>
      <c r="L249"/>
    </row>
    <row r="250" spans="1:12" ht="14.4" x14ac:dyDescent="0.3">
      <c r="A250" s="1"/>
      <c r="B250"/>
      <c r="C250"/>
      <c r="D250"/>
      <c r="E250"/>
      <c r="F250"/>
      <c r="G250"/>
      <c r="H250"/>
      <c r="I250"/>
      <c r="J250"/>
      <c r="K250"/>
      <c r="L250"/>
    </row>
    <row r="251" spans="1:12" ht="14.4" x14ac:dyDescent="0.3">
      <c r="A251" s="1"/>
      <c r="B251"/>
      <c r="C251"/>
      <c r="D251"/>
      <c r="E251"/>
      <c r="F251"/>
      <c r="G251"/>
      <c r="H251"/>
      <c r="I251"/>
      <c r="J251"/>
      <c r="K251"/>
      <c r="L251"/>
    </row>
    <row r="252" spans="1:12" ht="14.4" x14ac:dyDescent="0.3">
      <c r="A252" s="1"/>
      <c r="B252"/>
      <c r="C252"/>
      <c r="D252"/>
      <c r="E252"/>
      <c r="F252"/>
      <c r="G252"/>
      <c r="H252"/>
      <c r="I252"/>
      <c r="J252"/>
      <c r="K252"/>
      <c r="L252"/>
    </row>
    <row r="253" spans="1:12" ht="14.4" x14ac:dyDescent="0.3">
      <c r="A253" s="1"/>
      <c r="B253"/>
      <c r="C253"/>
      <c r="D253"/>
      <c r="E253"/>
      <c r="F253"/>
      <c r="G253"/>
      <c r="H253"/>
      <c r="I253"/>
      <c r="J253"/>
      <c r="K253"/>
      <c r="L253"/>
    </row>
    <row r="254" spans="1:12" ht="14.4" x14ac:dyDescent="0.3">
      <c r="A254" s="1"/>
      <c r="B254"/>
      <c r="C254"/>
      <c r="D254"/>
      <c r="E254"/>
      <c r="F254"/>
      <c r="G254"/>
      <c r="H254"/>
      <c r="I254"/>
      <c r="J254"/>
      <c r="K254"/>
      <c r="L254"/>
    </row>
    <row r="255" spans="1:12" ht="14.4" x14ac:dyDescent="0.3">
      <c r="A255" s="1"/>
      <c r="B255"/>
      <c r="C255"/>
      <c r="D255"/>
      <c r="E255"/>
      <c r="F255"/>
      <c r="G255"/>
      <c r="H255"/>
      <c r="I255"/>
      <c r="J255"/>
      <c r="K255"/>
      <c r="L255"/>
    </row>
    <row r="256" spans="1:12" ht="14.4" x14ac:dyDescent="0.3">
      <c r="A256" s="1"/>
      <c r="B256"/>
      <c r="C256"/>
      <c r="D256"/>
      <c r="E256"/>
      <c r="F256"/>
      <c r="G256"/>
      <c r="H256"/>
      <c r="I256"/>
      <c r="J256"/>
      <c r="K256"/>
      <c r="L256"/>
    </row>
    <row r="257" spans="1:12" ht="14.4" x14ac:dyDescent="0.3">
      <c r="A257" s="1"/>
      <c r="B257"/>
      <c r="C257"/>
      <c r="D257"/>
      <c r="E257"/>
      <c r="F257"/>
      <c r="G257"/>
      <c r="H257"/>
      <c r="I257"/>
      <c r="J257"/>
      <c r="K257"/>
      <c r="L257"/>
    </row>
    <row r="258" spans="1:12" ht="14.4" x14ac:dyDescent="0.3">
      <c r="A258" s="1"/>
      <c r="B258"/>
      <c r="C258"/>
      <c r="D258"/>
      <c r="E258"/>
      <c r="F258"/>
      <c r="G258"/>
      <c r="H258"/>
      <c r="I258"/>
      <c r="J258"/>
      <c r="K258"/>
      <c r="L258"/>
    </row>
    <row r="259" spans="1:12" ht="14.4" x14ac:dyDescent="0.3">
      <c r="A259" s="1"/>
      <c r="B259"/>
      <c r="C259"/>
      <c r="D259"/>
      <c r="E259"/>
      <c r="F259"/>
      <c r="G259"/>
      <c r="H259"/>
      <c r="I259"/>
      <c r="J259"/>
      <c r="K259"/>
      <c r="L259"/>
    </row>
    <row r="260" spans="1:12" ht="14.4" x14ac:dyDescent="0.3">
      <c r="A260" s="1"/>
      <c r="B260"/>
      <c r="C260"/>
      <c r="D260"/>
      <c r="E260"/>
      <c r="F260"/>
      <c r="G260"/>
      <c r="H260"/>
      <c r="I260"/>
      <c r="J260"/>
      <c r="K260"/>
      <c r="L260"/>
    </row>
    <row r="261" spans="1:12" ht="14.4" x14ac:dyDescent="0.3">
      <c r="A261" s="1"/>
      <c r="B261"/>
      <c r="C261"/>
      <c r="D261"/>
      <c r="E261"/>
      <c r="F261"/>
      <c r="G261"/>
      <c r="H261"/>
      <c r="I261"/>
      <c r="J261"/>
      <c r="K261"/>
      <c r="L261"/>
    </row>
    <row r="262" spans="1:12" ht="14.4" x14ac:dyDescent="0.3">
      <c r="A262" s="1"/>
      <c r="B262"/>
      <c r="C262"/>
      <c r="D262"/>
      <c r="E262"/>
      <c r="F262"/>
      <c r="G262"/>
      <c r="H262"/>
      <c r="I262"/>
      <c r="J262"/>
      <c r="K262"/>
      <c r="L262"/>
    </row>
    <row r="263" spans="1:12" ht="14.4" x14ac:dyDescent="0.3">
      <c r="A263" s="1"/>
      <c r="B263"/>
      <c r="C263"/>
      <c r="D263"/>
      <c r="E263"/>
      <c r="F263"/>
      <c r="G263"/>
      <c r="H263"/>
      <c r="I263"/>
      <c r="J263"/>
      <c r="K263"/>
      <c r="L263"/>
    </row>
    <row r="264" spans="1:12" ht="14.4" x14ac:dyDescent="0.3">
      <c r="A264" s="1"/>
      <c r="B264"/>
      <c r="C264"/>
      <c r="D264"/>
      <c r="E264"/>
      <c r="F264"/>
      <c r="G264"/>
      <c r="H264"/>
      <c r="I264"/>
      <c r="J264"/>
      <c r="K264"/>
      <c r="L264"/>
    </row>
    <row r="265" spans="1:12" ht="14.4" x14ac:dyDescent="0.3">
      <c r="A265" s="1"/>
      <c r="B265"/>
      <c r="C265"/>
      <c r="D265"/>
      <c r="E265"/>
      <c r="F265"/>
      <c r="G265"/>
      <c r="H265"/>
      <c r="I265"/>
      <c r="J265"/>
      <c r="K265"/>
      <c r="L265"/>
    </row>
    <row r="266" spans="1:12" ht="14.4" x14ac:dyDescent="0.3">
      <c r="A266" s="1"/>
      <c r="B266"/>
      <c r="C266"/>
      <c r="D266"/>
      <c r="E266"/>
      <c r="F266"/>
      <c r="G266"/>
      <c r="H266"/>
      <c r="I266"/>
      <c r="J266"/>
      <c r="K266"/>
      <c r="L266"/>
    </row>
    <row r="267" spans="1:12" ht="14.4" x14ac:dyDescent="0.3">
      <c r="A267" s="1"/>
      <c r="B267"/>
      <c r="C267"/>
      <c r="D267"/>
      <c r="E267"/>
      <c r="F267"/>
      <c r="G267"/>
      <c r="H267"/>
      <c r="I267"/>
      <c r="J267"/>
      <c r="K267"/>
      <c r="L267"/>
    </row>
    <row r="268" spans="1:12" ht="14.4" x14ac:dyDescent="0.3">
      <c r="A268" s="1"/>
      <c r="B268"/>
      <c r="C268"/>
      <c r="D268"/>
      <c r="E268"/>
      <c r="F268"/>
      <c r="G268"/>
      <c r="H268"/>
      <c r="I268"/>
      <c r="J268"/>
      <c r="K268"/>
      <c r="L268"/>
    </row>
    <row r="269" spans="1:12" ht="14.4" x14ac:dyDescent="0.3">
      <c r="A269" s="1"/>
      <c r="B269"/>
      <c r="C269"/>
      <c r="D269"/>
      <c r="E269"/>
      <c r="F269"/>
      <c r="G269"/>
      <c r="H269"/>
      <c r="I269"/>
      <c r="J269"/>
      <c r="K269"/>
      <c r="L269"/>
    </row>
    <row r="270" spans="1:12" ht="14.4" x14ac:dyDescent="0.3">
      <c r="A270" s="1"/>
      <c r="B270"/>
      <c r="C270"/>
      <c r="D270"/>
      <c r="E270"/>
      <c r="F270"/>
      <c r="G270"/>
      <c r="H270"/>
      <c r="I270"/>
      <c r="J270"/>
      <c r="K270"/>
      <c r="L270"/>
    </row>
    <row r="271" spans="1:12" ht="14.4" x14ac:dyDescent="0.3">
      <c r="A271" s="1"/>
      <c r="B271"/>
      <c r="C271"/>
      <c r="D271"/>
      <c r="E271"/>
      <c r="F271"/>
      <c r="G271"/>
      <c r="H271"/>
      <c r="I271"/>
      <c r="J271"/>
      <c r="K271"/>
      <c r="L271"/>
    </row>
    <row r="272" spans="1:12" ht="14.4" x14ac:dyDescent="0.3">
      <c r="A272" s="1"/>
      <c r="B272"/>
      <c r="C272"/>
      <c r="D272"/>
      <c r="E272"/>
      <c r="F272"/>
      <c r="G272"/>
      <c r="H272"/>
      <c r="I272"/>
      <c r="J272"/>
      <c r="K272"/>
      <c r="L272"/>
    </row>
    <row r="273" spans="1:12" ht="14.4" x14ac:dyDescent="0.3">
      <c r="A273" s="1"/>
      <c r="B273"/>
      <c r="C273"/>
      <c r="D273"/>
      <c r="E273"/>
      <c r="F273"/>
      <c r="G273"/>
      <c r="H273"/>
      <c r="I273"/>
      <c r="J273"/>
      <c r="K273"/>
      <c r="L273"/>
    </row>
    <row r="274" spans="1:12" ht="14.4" x14ac:dyDescent="0.3">
      <c r="A274" s="1"/>
      <c r="B274"/>
      <c r="C274"/>
      <c r="D274"/>
      <c r="E274"/>
      <c r="F274"/>
      <c r="G274"/>
      <c r="H274"/>
      <c r="I274"/>
      <c r="J274"/>
      <c r="K274"/>
      <c r="L274"/>
    </row>
    <row r="275" spans="1:12" ht="14.4" x14ac:dyDescent="0.3">
      <c r="A275" s="1"/>
      <c r="B275"/>
      <c r="C275"/>
      <c r="D275"/>
      <c r="E275"/>
      <c r="F275"/>
      <c r="G275"/>
      <c r="H275"/>
      <c r="I275"/>
      <c r="J275"/>
      <c r="K275"/>
      <c r="L275"/>
    </row>
    <row r="276" spans="1:12" ht="14.4" x14ac:dyDescent="0.3">
      <c r="A276" s="1"/>
      <c r="B276"/>
      <c r="C276"/>
      <c r="D276"/>
      <c r="E276"/>
      <c r="F276"/>
      <c r="G276"/>
      <c r="H276"/>
      <c r="I276"/>
      <c r="J276"/>
      <c r="K276"/>
      <c r="L276"/>
    </row>
    <row r="277" spans="1:12" ht="14.4" x14ac:dyDescent="0.3">
      <c r="A277" s="1"/>
      <c r="B277"/>
      <c r="C277"/>
      <c r="D277"/>
      <c r="E277"/>
      <c r="F277"/>
      <c r="G277"/>
      <c r="H277"/>
      <c r="I277"/>
      <c r="J277"/>
      <c r="K277"/>
      <c r="L277"/>
    </row>
    <row r="278" spans="1:12" ht="14.4" x14ac:dyDescent="0.3">
      <c r="A278" s="1"/>
      <c r="B278"/>
      <c r="C278"/>
      <c r="D278"/>
      <c r="E278"/>
      <c r="F278"/>
      <c r="G278"/>
      <c r="H278"/>
      <c r="I278"/>
      <c r="J278"/>
      <c r="K278"/>
      <c r="L278"/>
    </row>
    <row r="279" spans="1:12" ht="14.4" x14ac:dyDescent="0.3">
      <c r="A279" s="1"/>
      <c r="B279"/>
      <c r="C279"/>
      <c r="D279"/>
      <c r="E279"/>
      <c r="F279"/>
      <c r="G279"/>
      <c r="H279"/>
      <c r="I279"/>
      <c r="J279"/>
      <c r="K279"/>
      <c r="L279"/>
    </row>
    <row r="280" spans="1:12" ht="14.4" x14ac:dyDescent="0.3">
      <c r="A280" s="1"/>
      <c r="B280"/>
      <c r="C280"/>
      <c r="D280"/>
      <c r="E280"/>
      <c r="F280"/>
      <c r="G280"/>
      <c r="H280"/>
      <c r="I280"/>
      <c r="J280"/>
      <c r="K280"/>
      <c r="L280"/>
    </row>
    <row r="281" spans="1:12" ht="14.4" x14ac:dyDescent="0.3">
      <c r="A281" s="1"/>
      <c r="B281"/>
      <c r="C281"/>
      <c r="D281"/>
      <c r="E281"/>
      <c r="F281"/>
      <c r="G281"/>
      <c r="H281"/>
      <c r="I281"/>
      <c r="J281"/>
      <c r="K281"/>
      <c r="L281"/>
    </row>
    <row r="282" spans="1:12" ht="14.4" x14ac:dyDescent="0.3">
      <c r="A282" s="1"/>
      <c r="B282"/>
      <c r="C282"/>
      <c r="D282"/>
      <c r="E282"/>
      <c r="F282"/>
      <c r="G282"/>
      <c r="H282"/>
      <c r="I282"/>
      <c r="J282"/>
      <c r="K282"/>
      <c r="L282"/>
    </row>
    <row r="283" spans="1:12" ht="14.4" x14ac:dyDescent="0.3">
      <c r="A283" s="1"/>
      <c r="B283"/>
      <c r="C283"/>
      <c r="D283"/>
      <c r="E283"/>
      <c r="F283"/>
      <c r="G283"/>
      <c r="H283"/>
      <c r="I283"/>
      <c r="J283"/>
      <c r="K283"/>
      <c r="L283"/>
    </row>
    <row r="284" spans="1:12" ht="14.4" x14ac:dyDescent="0.3">
      <c r="A284" s="1"/>
      <c r="B284"/>
      <c r="C284"/>
      <c r="D284"/>
      <c r="E284"/>
      <c r="F284"/>
      <c r="G284"/>
      <c r="H284"/>
      <c r="I284"/>
      <c r="J284"/>
      <c r="K284"/>
      <c r="L284"/>
    </row>
    <row r="285" spans="1:12" ht="14.4" x14ac:dyDescent="0.3">
      <c r="A285" s="1"/>
      <c r="B285"/>
      <c r="C285"/>
      <c r="D285"/>
      <c r="E285"/>
      <c r="F285"/>
      <c r="G285"/>
      <c r="H285"/>
      <c r="I285"/>
      <c r="J285"/>
      <c r="K285"/>
      <c r="L285"/>
    </row>
    <row r="286" spans="1:12" ht="14.4" x14ac:dyDescent="0.3">
      <c r="A286" s="1"/>
      <c r="B286"/>
      <c r="C286"/>
      <c r="D286"/>
      <c r="E286"/>
      <c r="F286"/>
      <c r="G286"/>
      <c r="H286"/>
      <c r="I286"/>
      <c r="J286"/>
      <c r="K286"/>
      <c r="L286"/>
    </row>
    <row r="287" spans="1:12" ht="14.4" x14ac:dyDescent="0.3">
      <c r="A287" s="1"/>
      <c r="B287"/>
      <c r="C287"/>
      <c r="D287"/>
      <c r="E287"/>
      <c r="F287"/>
      <c r="G287"/>
      <c r="H287"/>
      <c r="I287"/>
      <c r="J287"/>
      <c r="K287"/>
      <c r="L287"/>
    </row>
    <row r="288" spans="1:12" ht="14.4" x14ac:dyDescent="0.3">
      <c r="A288" s="1"/>
      <c r="B288"/>
      <c r="C288"/>
      <c r="D288"/>
      <c r="E288"/>
      <c r="F288"/>
      <c r="G288"/>
      <c r="H288"/>
      <c r="I288"/>
      <c r="J288"/>
      <c r="K288"/>
      <c r="L288"/>
    </row>
    <row r="289" spans="1:12" ht="14.4" x14ac:dyDescent="0.3">
      <c r="A289" s="1"/>
      <c r="B289"/>
      <c r="C289"/>
      <c r="D289"/>
      <c r="E289"/>
      <c r="F289"/>
      <c r="G289"/>
      <c r="H289"/>
      <c r="I289"/>
      <c r="J289"/>
      <c r="K289"/>
      <c r="L289"/>
    </row>
    <row r="290" spans="1:12" ht="14.4" x14ac:dyDescent="0.3">
      <c r="A290" s="1"/>
      <c r="B290"/>
      <c r="C290"/>
      <c r="D290"/>
      <c r="E290"/>
      <c r="F290"/>
      <c r="G290"/>
      <c r="H290"/>
      <c r="I290"/>
      <c r="J290"/>
      <c r="K290"/>
      <c r="L290"/>
    </row>
    <row r="291" spans="1:12" ht="14.4" x14ac:dyDescent="0.3">
      <c r="A291" s="1"/>
      <c r="B291"/>
      <c r="C291"/>
      <c r="D291"/>
      <c r="E291"/>
      <c r="F291"/>
      <c r="G291"/>
      <c r="H291"/>
      <c r="I291"/>
      <c r="J291"/>
      <c r="K291"/>
      <c r="L291"/>
    </row>
    <row r="292" spans="1:12" ht="14.4" x14ac:dyDescent="0.3">
      <c r="A292" s="1"/>
      <c r="B292"/>
      <c r="C292"/>
      <c r="D292"/>
      <c r="E292"/>
      <c r="F292"/>
      <c r="G292"/>
      <c r="H292"/>
      <c r="I292"/>
      <c r="J292"/>
      <c r="K292"/>
      <c r="L292"/>
    </row>
    <row r="293" spans="1:12" ht="14.4" x14ac:dyDescent="0.3">
      <c r="A293" s="1"/>
      <c r="B293"/>
      <c r="C293"/>
      <c r="D293"/>
      <c r="E293"/>
      <c r="F293"/>
      <c r="G293"/>
      <c r="H293"/>
      <c r="I293"/>
      <c r="J293"/>
      <c r="K293"/>
      <c r="L293"/>
    </row>
    <row r="294" spans="1:12" ht="14.4" x14ac:dyDescent="0.3">
      <c r="A294" s="1"/>
      <c r="B294"/>
      <c r="C294"/>
      <c r="D294"/>
      <c r="E294"/>
      <c r="F294"/>
      <c r="G294"/>
      <c r="H294"/>
      <c r="I294"/>
      <c r="J294"/>
      <c r="K294"/>
      <c r="L294"/>
    </row>
    <row r="295" spans="1:12" ht="14.4" x14ac:dyDescent="0.3">
      <c r="A295" s="1"/>
      <c r="B295"/>
      <c r="C295"/>
      <c r="D295"/>
      <c r="E295"/>
      <c r="F295"/>
      <c r="G295"/>
      <c r="H295"/>
      <c r="I295"/>
      <c r="J295"/>
      <c r="K295"/>
      <c r="L295"/>
    </row>
    <row r="296" spans="1:12" ht="14.4" x14ac:dyDescent="0.3">
      <c r="A296" s="1"/>
      <c r="B296"/>
      <c r="C296"/>
      <c r="D296"/>
      <c r="E296"/>
      <c r="F296"/>
      <c r="G296"/>
      <c r="H296"/>
      <c r="I296"/>
      <c r="J296"/>
      <c r="K296"/>
      <c r="L296"/>
    </row>
    <row r="297" spans="1:12" ht="14.4" x14ac:dyDescent="0.3">
      <c r="A297" s="1"/>
      <c r="B297"/>
      <c r="C297"/>
      <c r="D297"/>
      <c r="E297"/>
      <c r="F297"/>
      <c r="G297"/>
      <c r="H297"/>
      <c r="I297"/>
      <c r="J297"/>
      <c r="K297"/>
      <c r="L297"/>
    </row>
    <row r="298" spans="1:12" ht="14.4" x14ac:dyDescent="0.3">
      <c r="A298" s="1"/>
      <c r="B298"/>
      <c r="C298"/>
      <c r="D298"/>
      <c r="E298"/>
      <c r="F298"/>
      <c r="G298"/>
      <c r="H298"/>
      <c r="I298"/>
      <c r="J298"/>
      <c r="K298"/>
      <c r="L298"/>
    </row>
    <row r="299" spans="1:12" ht="14.4" x14ac:dyDescent="0.3">
      <c r="A299" s="1"/>
      <c r="B299"/>
      <c r="C299"/>
      <c r="D299"/>
      <c r="E299"/>
      <c r="F299"/>
      <c r="G299"/>
      <c r="H299"/>
      <c r="I299"/>
      <c r="J299"/>
      <c r="K299"/>
      <c r="L299"/>
    </row>
    <row r="300" spans="1:12" ht="14.4" x14ac:dyDescent="0.3">
      <c r="A300" s="1"/>
      <c r="B300"/>
      <c r="C300"/>
      <c r="D300"/>
      <c r="E300"/>
      <c r="F300"/>
      <c r="G300"/>
      <c r="H300"/>
      <c r="I300"/>
      <c r="J300"/>
      <c r="K300"/>
      <c r="L300"/>
    </row>
    <row r="301" spans="1:12" ht="14.4" x14ac:dyDescent="0.3">
      <c r="A301" s="1"/>
      <c r="B301"/>
      <c r="C301"/>
      <c r="D301"/>
      <c r="E301"/>
      <c r="F301"/>
      <c r="G301"/>
      <c r="H301"/>
      <c r="I301"/>
      <c r="J301"/>
      <c r="K301"/>
      <c r="L301"/>
    </row>
    <row r="302" spans="1:12" ht="14.4" x14ac:dyDescent="0.3">
      <c r="A302" s="1"/>
      <c r="B302"/>
      <c r="C302"/>
      <c r="D302"/>
      <c r="E302"/>
      <c r="F302"/>
      <c r="G302"/>
      <c r="H302"/>
      <c r="I302"/>
      <c r="J302"/>
      <c r="K302"/>
      <c r="L302"/>
    </row>
    <row r="303" spans="1:12" ht="14.4" x14ac:dyDescent="0.3">
      <c r="A303" s="1"/>
      <c r="B303"/>
      <c r="C303"/>
      <c r="D303"/>
      <c r="E303"/>
      <c r="F303"/>
      <c r="G303"/>
      <c r="H303"/>
      <c r="I303"/>
      <c r="J303"/>
      <c r="K303"/>
      <c r="L303"/>
    </row>
    <row r="304" spans="1:12" ht="14.4" x14ac:dyDescent="0.3">
      <c r="A304" s="1"/>
      <c r="B304"/>
      <c r="C304"/>
      <c r="D304"/>
      <c r="E304"/>
      <c r="F304"/>
      <c r="G304"/>
      <c r="H304"/>
      <c r="I304"/>
      <c r="J304"/>
      <c r="K304"/>
      <c r="L304"/>
    </row>
    <row r="305" spans="1:12" ht="14.4" x14ac:dyDescent="0.3">
      <c r="A305" s="1"/>
      <c r="B305"/>
      <c r="C305"/>
      <c r="D305"/>
      <c r="E305"/>
      <c r="F305"/>
      <c r="G305"/>
      <c r="H305"/>
      <c r="I305"/>
      <c r="J305"/>
      <c r="K305"/>
      <c r="L305"/>
    </row>
    <row r="306" spans="1:12" ht="14.4" x14ac:dyDescent="0.3">
      <c r="A306" s="1"/>
      <c r="B306"/>
      <c r="C306"/>
      <c r="D306"/>
      <c r="E306"/>
      <c r="F306"/>
      <c r="G306"/>
      <c r="H306"/>
      <c r="I306"/>
      <c r="J306"/>
      <c r="K306"/>
      <c r="L306"/>
    </row>
    <row r="307" spans="1:12" ht="14.4" x14ac:dyDescent="0.3">
      <c r="A307" s="1"/>
      <c r="B307"/>
      <c r="C307"/>
      <c r="D307"/>
      <c r="E307"/>
      <c r="F307"/>
      <c r="G307"/>
      <c r="H307"/>
      <c r="I307"/>
      <c r="J307"/>
      <c r="K307"/>
      <c r="L307"/>
    </row>
    <row r="308" spans="1:12" ht="14.4" x14ac:dyDescent="0.3">
      <c r="A308" s="1"/>
      <c r="B308"/>
      <c r="C308"/>
      <c r="D308"/>
      <c r="E308"/>
      <c r="F308"/>
      <c r="G308"/>
      <c r="H308"/>
      <c r="I308"/>
      <c r="J308"/>
      <c r="K308"/>
      <c r="L308"/>
    </row>
    <row r="309" spans="1:12" ht="14.4" x14ac:dyDescent="0.3">
      <c r="A309" s="1"/>
      <c r="B309"/>
      <c r="C309"/>
      <c r="D309"/>
      <c r="E309"/>
      <c r="F309"/>
      <c r="G309"/>
      <c r="H309"/>
      <c r="I309"/>
      <c r="J309"/>
      <c r="K309"/>
      <c r="L309"/>
    </row>
    <row r="310" spans="1:12" ht="14.4" x14ac:dyDescent="0.3">
      <c r="A310" s="1"/>
      <c r="B310"/>
      <c r="C310"/>
      <c r="D310"/>
      <c r="E310"/>
      <c r="F310"/>
      <c r="G310"/>
      <c r="H310"/>
      <c r="I310"/>
      <c r="J310"/>
      <c r="K310"/>
      <c r="L310"/>
    </row>
    <row r="311" spans="1:12" ht="14.4" x14ac:dyDescent="0.3">
      <c r="A311" s="1"/>
      <c r="B311"/>
      <c r="C311"/>
      <c r="D311"/>
      <c r="E311"/>
      <c r="F311"/>
      <c r="G311"/>
      <c r="H311"/>
      <c r="I311"/>
      <c r="J311"/>
      <c r="K311"/>
      <c r="L311"/>
    </row>
    <row r="312" spans="1:12" ht="14.4" x14ac:dyDescent="0.3">
      <c r="A312" s="1"/>
      <c r="B312"/>
      <c r="C312"/>
      <c r="D312"/>
      <c r="E312"/>
      <c r="F312"/>
      <c r="G312"/>
      <c r="H312"/>
      <c r="I312"/>
      <c r="J312"/>
      <c r="K312"/>
      <c r="L312"/>
    </row>
    <row r="313" spans="1:12" ht="14.4" x14ac:dyDescent="0.3">
      <c r="A313" s="1"/>
      <c r="B313"/>
      <c r="C313"/>
      <c r="D313"/>
      <c r="E313"/>
      <c r="F313"/>
      <c r="G313"/>
      <c r="H313"/>
      <c r="I313"/>
      <c r="J313"/>
      <c r="K313"/>
      <c r="L313"/>
    </row>
    <row r="314" spans="1:12" ht="14.4" x14ac:dyDescent="0.3">
      <c r="A314" s="1"/>
      <c r="B314"/>
      <c r="C314"/>
      <c r="D314"/>
      <c r="E314"/>
      <c r="F314"/>
      <c r="G314"/>
      <c r="H314"/>
      <c r="I314"/>
      <c r="J314"/>
      <c r="K314"/>
      <c r="L314"/>
    </row>
    <row r="315" spans="1:12" ht="14.4" x14ac:dyDescent="0.3">
      <c r="A315" s="1"/>
      <c r="B315"/>
      <c r="C315"/>
      <c r="D315"/>
      <c r="E315"/>
      <c r="F315"/>
      <c r="G315"/>
      <c r="H315"/>
      <c r="I315"/>
      <c r="J315"/>
      <c r="K315"/>
      <c r="L315"/>
    </row>
    <row r="316" spans="1:12" ht="14.4" x14ac:dyDescent="0.3">
      <c r="A316" s="1"/>
      <c r="B316"/>
      <c r="C316"/>
      <c r="D316"/>
      <c r="E316"/>
      <c r="F316"/>
      <c r="G316"/>
      <c r="H316"/>
      <c r="I316"/>
      <c r="J316"/>
      <c r="K316"/>
      <c r="L316"/>
    </row>
    <row r="317" spans="1:12" ht="14.4" x14ac:dyDescent="0.3">
      <c r="A317" s="1"/>
      <c r="B317"/>
      <c r="C317"/>
      <c r="D317"/>
      <c r="E317"/>
      <c r="F317"/>
      <c r="G317"/>
      <c r="H317"/>
      <c r="I317"/>
      <c r="J317"/>
      <c r="K317"/>
      <c r="L317"/>
    </row>
    <row r="318" spans="1:12" ht="14.4" x14ac:dyDescent="0.3">
      <c r="A318" s="1"/>
      <c r="B318"/>
      <c r="C318"/>
      <c r="D318"/>
      <c r="E318"/>
      <c r="F318"/>
      <c r="G318"/>
      <c r="H318"/>
      <c r="I318"/>
      <c r="J318"/>
      <c r="K318"/>
      <c r="L318"/>
    </row>
    <row r="319" spans="1:12" ht="14.4" x14ac:dyDescent="0.3">
      <c r="A319" s="1"/>
      <c r="B319"/>
      <c r="C319"/>
      <c r="D319"/>
      <c r="E319"/>
      <c r="F319"/>
      <c r="G319"/>
      <c r="H319"/>
      <c r="I319"/>
      <c r="J319"/>
      <c r="K319"/>
      <c r="L319"/>
    </row>
    <row r="320" spans="1:12" ht="14.4" x14ac:dyDescent="0.3">
      <c r="A320" s="1"/>
      <c r="B320"/>
      <c r="C320"/>
      <c r="D320"/>
      <c r="E320"/>
      <c r="F320"/>
      <c r="G320"/>
      <c r="H320"/>
      <c r="I320"/>
      <c r="J320"/>
      <c r="K320"/>
      <c r="L320"/>
    </row>
    <row r="321" spans="1:12" ht="14.4" x14ac:dyDescent="0.3">
      <c r="A321" s="1"/>
      <c r="B321"/>
      <c r="C321"/>
      <c r="D321"/>
      <c r="E321"/>
      <c r="F321"/>
      <c r="G321"/>
      <c r="H321"/>
      <c r="I321"/>
      <c r="J321"/>
      <c r="K321"/>
      <c r="L321"/>
    </row>
    <row r="322" spans="1:12" ht="14.4" x14ac:dyDescent="0.3">
      <c r="A322" s="1"/>
      <c r="B322"/>
      <c r="C322"/>
      <c r="D322"/>
      <c r="E322"/>
      <c r="F322"/>
      <c r="G322"/>
      <c r="H322"/>
      <c r="I322"/>
      <c r="J322"/>
      <c r="K322"/>
      <c r="L322"/>
    </row>
    <row r="323" spans="1:12" ht="14.4" x14ac:dyDescent="0.3">
      <c r="A323" s="1"/>
      <c r="B323"/>
      <c r="C323"/>
      <c r="D323"/>
      <c r="E323"/>
      <c r="F323"/>
      <c r="G323"/>
      <c r="H323"/>
      <c r="I323"/>
      <c r="J323"/>
      <c r="K323"/>
      <c r="L323"/>
    </row>
    <row r="324" spans="1:12" ht="14.4" x14ac:dyDescent="0.3">
      <c r="A324" s="1"/>
      <c r="B324"/>
      <c r="C324"/>
      <c r="D324"/>
      <c r="E324"/>
      <c r="F324"/>
      <c r="G324"/>
      <c r="H324"/>
      <c r="I324"/>
      <c r="J324"/>
      <c r="K324"/>
      <c r="L324"/>
    </row>
    <row r="325" spans="1:12" ht="14.4" x14ac:dyDescent="0.3">
      <c r="A325" s="1"/>
      <c r="B325"/>
      <c r="C325"/>
      <c r="D325"/>
      <c r="E325"/>
      <c r="F325"/>
      <c r="G325"/>
      <c r="H325"/>
      <c r="I325"/>
      <c r="J325"/>
      <c r="K325"/>
      <c r="L325"/>
    </row>
    <row r="326" spans="1:12" ht="14.4" x14ac:dyDescent="0.3">
      <c r="A326" s="1"/>
      <c r="B326"/>
      <c r="C326"/>
      <c r="D326"/>
      <c r="E326"/>
      <c r="F326"/>
      <c r="G326"/>
      <c r="H326"/>
      <c r="I326"/>
      <c r="J326"/>
      <c r="K326"/>
      <c r="L326"/>
    </row>
    <row r="327" spans="1:12" ht="14.4" x14ac:dyDescent="0.3">
      <c r="A327" s="1"/>
      <c r="B327"/>
      <c r="C327"/>
      <c r="D327"/>
      <c r="E327"/>
      <c r="F327"/>
      <c r="G327"/>
      <c r="H327"/>
      <c r="I327"/>
      <c r="J327"/>
      <c r="K327"/>
      <c r="L327"/>
    </row>
    <row r="328" spans="1:12" ht="14.4" x14ac:dyDescent="0.3">
      <c r="A328" s="1"/>
      <c r="B328"/>
      <c r="C328"/>
      <c r="D328"/>
      <c r="E328"/>
      <c r="F328"/>
      <c r="G328"/>
      <c r="H328"/>
      <c r="I328"/>
      <c r="J328"/>
      <c r="K328"/>
      <c r="L328"/>
    </row>
    <row r="329" spans="1:12" ht="14.4" x14ac:dyDescent="0.3">
      <c r="A329" s="1"/>
      <c r="B329"/>
      <c r="C329"/>
      <c r="D329"/>
      <c r="E329"/>
      <c r="F329"/>
      <c r="G329"/>
      <c r="H329"/>
      <c r="I329"/>
      <c r="J329"/>
      <c r="K329"/>
      <c r="L329"/>
    </row>
    <row r="330" spans="1:12" ht="14.4" x14ac:dyDescent="0.3">
      <c r="A330" s="1"/>
      <c r="B330"/>
      <c r="C330"/>
      <c r="D330"/>
      <c r="E330"/>
      <c r="F330"/>
      <c r="G330"/>
      <c r="H330"/>
      <c r="I330"/>
      <c r="J330"/>
      <c r="K330"/>
      <c r="L330"/>
    </row>
    <row r="331" spans="1:12" ht="14.4" x14ac:dyDescent="0.3">
      <c r="A331" s="1"/>
      <c r="B331"/>
      <c r="C331"/>
      <c r="D331"/>
      <c r="E331"/>
      <c r="F331"/>
      <c r="G331"/>
      <c r="H331"/>
      <c r="I331"/>
      <c r="J331"/>
      <c r="K331"/>
      <c r="L331"/>
    </row>
    <row r="332" spans="1:12" ht="14.4" x14ac:dyDescent="0.3">
      <c r="A332" s="1"/>
      <c r="B332"/>
      <c r="C332"/>
      <c r="D332"/>
      <c r="E332"/>
      <c r="F332"/>
      <c r="G332"/>
      <c r="H332"/>
      <c r="I332"/>
      <c r="J332"/>
      <c r="K332"/>
      <c r="L332"/>
    </row>
    <row r="333" spans="1:12" ht="14.4" x14ac:dyDescent="0.3">
      <c r="A333" s="1"/>
      <c r="B333"/>
      <c r="C333"/>
      <c r="D333"/>
      <c r="E333"/>
      <c r="F333"/>
      <c r="G333"/>
      <c r="H333"/>
      <c r="I333"/>
      <c r="J333"/>
      <c r="K333"/>
      <c r="L333"/>
    </row>
    <row r="334" spans="1:12" ht="14.4" x14ac:dyDescent="0.3">
      <c r="A334" s="1"/>
      <c r="B334"/>
      <c r="C334"/>
      <c r="D334"/>
      <c r="E334"/>
      <c r="F334"/>
      <c r="G334"/>
      <c r="H334"/>
      <c r="I334"/>
      <c r="J334"/>
      <c r="K334"/>
      <c r="L334"/>
    </row>
    <row r="335" spans="1:12" ht="14.4" x14ac:dyDescent="0.3">
      <c r="A335" s="1"/>
      <c r="B335"/>
      <c r="C335"/>
      <c r="D335"/>
      <c r="E335"/>
      <c r="F335"/>
      <c r="G335"/>
      <c r="H335"/>
      <c r="I335"/>
      <c r="J335"/>
      <c r="K335"/>
      <c r="L335"/>
    </row>
    <row r="336" spans="1:12" ht="14.4" x14ac:dyDescent="0.3">
      <c r="A336" s="1"/>
      <c r="B336"/>
      <c r="C336"/>
      <c r="D336"/>
      <c r="E336"/>
      <c r="F336"/>
      <c r="G336"/>
      <c r="H336"/>
      <c r="I336"/>
      <c r="J336"/>
      <c r="K336"/>
      <c r="L336"/>
    </row>
    <row r="337" spans="1:12" ht="14.4" x14ac:dyDescent="0.3">
      <c r="A337" s="1"/>
      <c r="B337"/>
      <c r="C337"/>
      <c r="D337"/>
      <c r="E337"/>
      <c r="F337"/>
      <c r="G337"/>
      <c r="H337"/>
      <c r="I337"/>
      <c r="J337"/>
      <c r="K337"/>
      <c r="L337"/>
    </row>
    <row r="338" spans="1:12" ht="14.4" x14ac:dyDescent="0.3">
      <c r="A338" s="1"/>
      <c r="B338"/>
      <c r="C338"/>
      <c r="D338"/>
      <c r="E338"/>
      <c r="F338"/>
      <c r="G338"/>
      <c r="H338"/>
      <c r="I338"/>
      <c r="J338"/>
      <c r="K338"/>
      <c r="L338"/>
    </row>
    <row r="339" spans="1:12" ht="14.4" x14ac:dyDescent="0.3">
      <c r="A339" s="1"/>
      <c r="B339"/>
      <c r="C339"/>
      <c r="D339"/>
      <c r="E339"/>
      <c r="F339"/>
      <c r="G339"/>
      <c r="H339"/>
      <c r="I339"/>
      <c r="J339"/>
      <c r="K339"/>
      <c r="L339"/>
    </row>
    <row r="340" spans="1:12" ht="14.4" x14ac:dyDescent="0.3">
      <c r="A340" s="1"/>
      <c r="B340"/>
      <c r="C340"/>
      <c r="D340"/>
      <c r="E340"/>
      <c r="F340"/>
      <c r="G340"/>
      <c r="H340"/>
      <c r="I340"/>
      <c r="J340"/>
      <c r="K340"/>
      <c r="L340"/>
    </row>
    <row r="341" spans="1:12" ht="14.4" x14ac:dyDescent="0.3">
      <c r="A341" s="1"/>
      <c r="B341"/>
      <c r="C341"/>
      <c r="D341"/>
      <c r="E341"/>
      <c r="F341"/>
      <c r="G341"/>
      <c r="H341"/>
      <c r="I341"/>
      <c r="J341"/>
      <c r="K341"/>
      <c r="L341"/>
    </row>
    <row r="342" spans="1:12" ht="14.4" x14ac:dyDescent="0.3">
      <c r="A342" s="1"/>
      <c r="B342"/>
      <c r="C342"/>
      <c r="D342"/>
      <c r="E342"/>
      <c r="F342"/>
      <c r="G342"/>
      <c r="H342"/>
      <c r="I342"/>
      <c r="J342"/>
      <c r="K342"/>
      <c r="L342"/>
    </row>
    <row r="343" spans="1:12" ht="14.4" x14ac:dyDescent="0.3">
      <c r="A343" s="1"/>
      <c r="B343"/>
      <c r="C343"/>
      <c r="D343"/>
      <c r="E343"/>
      <c r="F343"/>
      <c r="G343"/>
      <c r="H343"/>
      <c r="I343"/>
      <c r="J343"/>
      <c r="K343"/>
      <c r="L343"/>
    </row>
    <row r="344" spans="1:12" ht="14.4" x14ac:dyDescent="0.3">
      <c r="A344" s="1"/>
      <c r="B344"/>
      <c r="C344"/>
      <c r="D344"/>
      <c r="E344"/>
      <c r="F344"/>
      <c r="G344"/>
      <c r="H344"/>
      <c r="I344"/>
      <c r="J344"/>
      <c r="K344"/>
      <c r="L344"/>
    </row>
    <row r="345" spans="1:12" ht="14.4" x14ac:dyDescent="0.3">
      <c r="A345" s="1"/>
      <c r="B345"/>
      <c r="C345"/>
      <c r="D345"/>
      <c r="E345"/>
      <c r="F345"/>
      <c r="G345"/>
      <c r="H345"/>
      <c r="I345"/>
      <c r="J345"/>
      <c r="K345"/>
      <c r="L345"/>
    </row>
    <row r="346" spans="1:12" ht="14.4" x14ac:dyDescent="0.3">
      <c r="A346" s="1"/>
      <c r="B346"/>
      <c r="C346"/>
      <c r="D346"/>
      <c r="E346"/>
      <c r="F346"/>
      <c r="G346"/>
      <c r="H346"/>
      <c r="I346"/>
      <c r="J346"/>
      <c r="K346"/>
      <c r="L346"/>
    </row>
    <row r="347" spans="1:12" ht="14.4" x14ac:dyDescent="0.3">
      <c r="A347" s="1"/>
      <c r="B347"/>
      <c r="C347"/>
      <c r="D347"/>
      <c r="E347"/>
      <c r="F347"/>
      <c r="G347"/>
      <c r="H347"/>
      <c r="I347"/>
      <c r="J347"/>
      <c r="K347"/>
      <c r="L347"/>
    </row>
    <row r="348" spans="1:12" ht="14.4" x14ac:dyDescent="0.3">
      <c r="A348" s="1"/>
      <c r="B348"/>
      <c r="C348"/>
      <c r="D348"/>
      <c r="E348"/>
      <c r="F348"/>
      <c r="G348"/>
      <c r="H348"/>
      <c r="I348"/>
      <c r="J348"/>
      <c r="K348"/>
      <c r="L348"/>
    </row>
    <row r="349" spans="1:12" ht="14.4" x14ac:dyDescent="0.3">
      <c r="A349" s="1"/>
      <c r="B349"/>
      <c r="C349"/>
      <c r="D349"/>
      <c r="E349"/>
      <c r="F349"/>
      <c r="G349"/>
      <c r="H349"/>
      <c r="I349"/>
      <c r="J349"/>
      <c r="K349"/>
      <c r="L349"/>
    </row>
    <row r="350" spans="1:12" ht="14.4" x14ac:dyDescent="0.3">
      <c r="A350" s="1"/>
      <c r="B350"/>
      <c r="C350"/>
      <c r="D350"/>
      <c r="E350"/>
      <c r="F350"/>
      <c r="G350"/>
      <c r="H350"/>
      <c r="I350"/>
      <c r="J350"/>
      <c r="K350"/>
      <c r="L350"/>
    </row>
    <row r="351" spans="1:12" ht="14.4" x14ac:dyDescent="0.3">
      <c r="A351" s="1"/>
      <c r="B351"/>
      <c r="C351"/>
      <c r="D351"/>
      <c r="E351"/>
      <c r="F351"/>
      <c r="G351"/>
      <c r="H351"/>
      <c r="I351"/>
      <c r="J351"/>
      <c r="K351"/>
      <c r="L351"/>
    </row>
    <row r="352" spans="1:12" ht="14.4" x14ac:dyDescent="0.3">
      <c r="A352" s="1"/>
      <c r="B352"/>
      <c r="C352"/>
      <c r="D352"/>
      <c r="E352"/>
      <c r="F352"/>
      <c r="G352"/>
      <c r="H352"/>
      <c r="I352"/>
      <c r="J352"/>
      <c r="K352"/>
      <c r="L352"/>
    </row>
    <row r="353" spans="1:12" ht="14.4" x14ac:dyDescent="0.3">
      <c r="A353" s="1"/>
      <c r="B353"/>
      <c r="C353"/>
      <c r="D353"/>
      <c r="E353"/>
      <c r="F353"/>
      <c r="G353"/>
      <c r="H353"/>
      <c r="I353"/>
      <c r="J353"/>
      <c r="K353"/>
      <c r="L353"/>
    </row>
    <row r="354" spans="1:12" ht="14.4" x14ac:dyDescent="0.3">
      <c r="A354" s="1"/>
      <c r="B354"/>
      <c r="C354"/>
      <c r="D354"/>
      <c r="E354"/>
      <c r="F354"/>
      <c r="G354"/>
      <c r="H354"/>
      <c r="I354"/>
      <c r="J354"/>
      <c r="K354"/>
      <c r="L354"/>
    </row>
    <row r="355" spans="1:12" ht="14.4" x14ac:dyDescent="0.3">
      <c r="A355" s="1"/>
      <c r="B355"/>
      <c r="C355"/>
      <c r="D355"/>
      <c r="E355"/>
      <c r="F355"/>
      <c r="G355"/>
      <c r="H355"/>
      <c r="I355"/>
      <c r="J355"/>
      <c r="K355"/>
      <c r="L355"/>
    </row>
    <row r="356" spans="1:12" ht="14.4" x14ac:dyDescent="0.3">
      <c r="A356" s="1"/>
      <c r="B356"/>
      <c r="C356"/>
      <c r="D356"/>
      <c r="E356"/>
      <c r="F356"/>
      <c r="G356"/>
      <c r="H356"/>
      <c r="I356"/>
      <c r="J356"/>
      <c r="K356"/>
      <c r="L356"/>
    </row>
    <row r="357" spans="1:12" ht="14.4" x14ac:dyDescent="0.3">
      <c r="A357" s="1"/>
      <c r="B357"/>
      <c r="C357"/>
      <c r="D357"/>
      <c r="E357"/>
      <c r="F357"/>
      <c r="G357"/>
      <c r="H357"/>
      <c r="I357"/>
      <c r="J357"/>
      <c r="K357"/>
      <c r="L357"/>
    </row>
    <row r="358" spans="1:12" ht="14.4" x14ac:dyDescent="0.3">
      <c r="A358" s="1"/>
      <c r="B358"/>
      <c r="C358"/>
      <c r="D358"/>
      <c r="E358"/>
      <c r="F358"/>
      <c r="G358"/>
      <c r="H358"/>
      <c r="I358"/>
      <c r="J358"/>
      <c r="K358"/>
      <c r="L358"/>
    </row>
    <row r="359" spans="1:12" ht="14.4" x14ac:dyDescent="0.3">
      <c r="A359" s="1"/>
      <c r="B359"/>
      <c r="C359"/>
      <c r="D359"/>
      <c r="E359"/>
      <c r="F359"/>
      <c r="G359"/>
      <c r="H359"/>
      <c r="I359"/>
      <c r="J359"/>
      <c r="K359"/>
      <c r="L359"/>
    </row>
    <row r="360" spans="1:12" ht="14.4" x14ac:dyDescent="0.3">
      <c r="A360" s="1"/>
      <c r="B360"/>
      <c r="C360"/>
      <c r="D360"/>
      <c r="E360"/>
      <c r="F360"/>
      <c r="G360"/>
      <c r="H360"/>
      <c r="I360"/>
      <c r="J360"/>
      <c r="K360"/>
      <c r="L360"/>
    </row>
    <row r="361" spans="1:12" ht="14.4" x14ac:dyDescent="0.3">
      <c r="A361" s="1"/>
      <c r="B361"/>
      <c r="C361"/>
      <c r="D361"/>
      <c r="E361"/>
      <c r="F361"/>
      <c r="G361"/>
      <c r="H361"/>
      <c r="I361"/>
      <c r="J361"/>
      <c r="K361"/>
      <c r="L361"/>
    </row>
    <row r="362" spans="1:12" ht="14.4" x14ac:dyDescent="0.3">
      <c r="A362" s="1"/>
      <c r="B362"/>
      <c r="C362"/>
      <c r="D362"/>
      <c r="E362"/>
      <c r="F362"/>
      <c r="G362"/>
      <c r="H362"/>
      <c r="I362"/>
      <c r="J362"/>
      <c r="K362"/>
      <c r="L362"/>
    </row>
    <row r="363" spans="1:12" ht="14.4" x14ac:dyDescent="0.3">
      <c r="A363" s="1"/>
      <c r="B363"/>
      <c r="C363"/>
      <c r="D363"/>
      <c r="E363"/>
      <c r="F363"/>
      <c r="G363"/>
      <c r="H363"/>
      <c r="I363"/>
      <c r="J363"/>
      <c r="K363"/>
      <c r="L363"/>
    </row>
    <row r="364" spans="1:12" ht="14.4" x14ac:dyDescent="0.3">
      <c r="A364" s="1"/>
      <c r="B364"/>
      <c r="C364"/>
      <c r="D364"/>
      <c r="E364"/>
      <c r="F364"/>
      <c r="G364"/>
      <c r="H364"/>
      <c r="I364"/>
      <c r="J364"/>
      <c r="K364"/>
      <c r="L364"/>
    </row>
  </sheetData>
  <conditionalFormatting sqref="A3:A80 D3:D80">
    <cfRule type="containsBlanks" dxfId="31" priority="17">
      <formula>LEN(TRIM(A3))=0</formula>
    </cfRule>
  </conditionalFormatting>
  <conditionalFormatting sqref="B3:B80">
    <cfRule type="containsText" dxfId="30" priority="16" operator="containsText" text="Office">
      <formula>NOT(ISERROR(SEARCH("Office",B3)))</formula>
    </cfRule>
  </conditionalFormatting>
  <conditionalFormatting sqref="C3:C80">
    <cfRule type="containsText" dxfId="29" priority="15" operator="containsText" text="ON,">
      <formula>NOT(ISERROR(SEARCH("ON,",C3)))</formula>
    </cfRule>
  </conditionalFormatting>
  <conditionalFormatting sqref="E3:E80">
    <cfRule type="containsText" dxfId="28" priority="13" operator="containsText" text="T">
      <formula>NOT(ISERROR(SEARCH("T",E3)))</formula>
    </cfRule>
  </conditionalFormatting>
  <conditionalFormatting sqref="F1:F1048576">
    <cfRule type="containsText" dxfId="27" priority="2" operator="containsText" text="eq1@livingproperties.com">
      <formula>NOT(ISERROR(SEARCH("eq1@livingproperties.com",F1)))</formula>
    </cfRule>
  </conditionalFormatting>
  <conditionalFormatting sqref="F3">
    <cfRule type="containsBlanks" dxfId="26" priority="23">
      <formula>LEN(TRIM(F3))=0</formula>
    </cfRule>
  </conditionalFormatting>
  <conditionalFormatting sqref="F4:F80">
    <cfRule type="containsText" dxfId="25" priority="1" operator="containsText" text="ye@">
      <formula>NOT(ISERROR(SEARCH("ye@",F4)))</formula>
    </cfRule>
    <cfRule type="containsText" dxfId="24" priority="25" operator="containsText" text="mississauga">
      <formula>NOT(ISERROR(SEARCH("mississauga",F4)))</formula>
    </cfRule>
    <cfRule type="containsText" dxfId="23" priority="27" operator="containsText" text="woodbine">
      <formula>NOT(ISERROR(SEARCH("woodbine",F4)))</formula>
    </cfRule>
    <cfRule type="containsText" dxfId="22" priority="29" operator="containsText" text="office">
      <formula>NOT(ISERROR(SEARCH("office",F4)))</formula>
    </cfRule>
    <cfRule type="containsText" dxfId="21" priority="30" operator="containsText" text="realestate@ihmg.ca">
      <formula>NOT(ISERROR(SEARCH("realestate@ihmg.ca",F4)))</formula>
    </cfRule>
    <cfRule type="containsText" dxfId="20" priority="31" operator="containsText" text="yb@">
      <formula>NOT(ISERROR(SEARCH("yb@",F4)))</formula>
    </cfRule>
    <cfRule type="containsText" dxfId="19" priority="32" operator="containsText" text="info">
      <formula>NOT(ISERROR(SEARCH("info",F4)))</formula>
    </cfRule>
    <cfRule type="containsText" dxfId="18" priority="33" operator="containsText" text="north">
      <formula>NOT(ISERROR(SEARCH("north",F4)))</formula>
    </cfRule>
    <cfRule type="containsBlanks" dxfId="17" priority="37">
      <formula>LEN(TRIM(F4))=0</formula>
    </cfRule>
    <cfRule type="beginsWith" dxfId="16" priority="38" operator="beginsWith" text="kingsquare">
      <formula>LEFT(F4,LEN("kingsquare"))="kingsquare"</formula>
    </cfRule>
  </conditionalFormatting>
  <printOptions horizontalCentered="1" verticalCentered="1"/>
  <pageMargins left="0.19685039370078741" right="0.19685039370078741" top="0.15748031496062992" bottom="0.15748031496062992" header="0" footer="0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BAFE-3294-46D2-8DCC-E76C8A855888}">
  <sheetPr>
    <pageSetUpPr fitToPage="1"/>
  </sheetPr>
  <dimension ref="A1:I368"/>
  <sheetViews>
    <sheetView showGridLines="0" topLeftCell="A6" workbookViewId="0">
      <selection activeCell="C25" sqref="C25"/>
    </sheetView>
  </sheetViews>
  <sheetFormatPr defaultColWidth="8.6640625" defaultRowHeight="13.8" x14ac:dyDescent="0.3"/>
  <cols>
    <col min="1" max="1" width="4.44140625" style="8" customWidth="1"/>
    <col min="2" max="2" width="21.44140625" style="7" customWidth="1"/>
    <col min="3" max="3" width="68" style="7" customWidth="1"/>
    <col min="4" max="4" width="13.44140625" style="7" customWidth="1"/>
    <col min="5" max="5" width="14.6640625" style="7" customWidth="1"/>
    <col min="6" max="6" width="31.88671875" style="7" customWidth="1"/>
    <col min="7" max="48" width="15.6640625" style="7" bestFit="1" customWidth="1"/>
    <col min="49" max="49" width="10.6640625" style="7" bestFit="1" customWidth="1"/>
    <col min="50" max="16384" width="8.6640625" style="7"/>
  </cols>
  <sheetData>
    <row r="1" spans="1:9" ht="22.8" x14ac:dyDescent="0.3">
      <c r="A1" s="2" t="s">
        <v>0</v>
      </c>
      <c r="F1" s="11" t="s">
        <v>318</v>
      </c>
    </row>
    <row r="2" spans="1:9" ht="14.4" x14ac:dyDescent="0.3">
      <c r="A2" s="10" t="s">
        <v>1</v>
      </c>
      <c r="B2" s="10" t="s">
        <v>2</v>
      </c>
      <c r="C2" s="10" t="s">
        <v>194</v>
      </c>
      <c r="D2" s="10" t="s">
        <v>3</v>
      </c>
      <c r="E2" s="10" t="s">
        <v>4</v>
      </c>
      <c r="F2" s="10" t="s">
        <v>5</v>
      </c>
      <c r="G2"/>
      <c r="H2"/>
      <c r="I2"/>
    </row>
    <row r="3" spans="1:9" ht="14.4" x14ac:dyDescent="0.3">
      <c r="A3" s="9" t="str">
        <f>IF(LEN(ContactData!H2)&lt;3,"",ContactData!H2)</f>
        <v/>
      </c>
      <c r="B3" s="3" t="str">
        <f>ContactData!E2</f>
        <v>LRI Head Office</v>
      </c>
      <c r="C3" s="3" t="str">
        <f>ContactData!G2</f>
        <v>8 Steelcase Road West, Markham, ON, L3R 1B2</v>
      </c>
      <c r="D3" s="9" t="str">
        <f>IF(LEN(ContactData!I2)&lt;3,"",ContactData!I2)</f>
        <v/>
      </c>
      <c r="E3" s="3" t="str">
        <f>ContactData!J2</f>
        <v>T: (905) 474-0590</v>
      </c>
      <c r="F3" s="9" t="str">
        <f>IF(LEN(ContactData!K2)&lt;3,"",ContactData!K2)</f>
        <v/>
      </c>
      <c r="G3"/>
      <c r="H3"/>
      <c r="I3"/>
    </row>
    <row r="4" spans="1:9" ht="14.4" x14ac:dyDescent="0.3">
      <c r="A4" s="9">
        <f>IF(LEN(ContactData!H3)&lt;3,"",ContactData!H3)</f>
        <v>500</v>
      </c>
      <c r="B4" s="3" t="str">
        <f>ContactData!E3</f>
        <v>Stephen Wong</v>
      </c>
      <c r="C4" s="3" t="str">
        <f>ContactData!G3</f>
        <v>Chairman</v>
      </c>
      <c r="D4" s="9" t="str">
        <f>IF(LEN(ContactData!I3)&lt;3,"",ContactData!I3)</f>
        <v>---</v>
      </c>
      <c r="E4" s="3" t="str">
        <f>ContactData!J3</f>
        <v>(905) 752-3500</v>
      </c>
      <c r="F4" s="3" t="str">
        <f>IF(LEN(ContactData!K3)&lt;3,"",ContactData!K3)</f>
        <v>stephenwong@livinggroupinc.com</v>
      </c>
      <c r="G4"/>
      <c r="H4"/>
      <c r="I4"/>
    </row>
    <row r="5" spans="1:9" ht="14.4" x14ac:dyDescent="0.3">
      <c r="A5" s="9">
        <f>IF(LEN(ContactData!H4)&lt;3,"",ContactData!H4)</f>
        <v>511</v>
      </c>
      <c r="B5" s="3" t="str">
        <f>ContactData!E4</f>
        <v>William Lau</v>
      </c>
      <c r="C5" s="3" t="str">
        <f>ContactData!G4</f>
        <v>President</v>
      </c>
      <c r="D5" s="9" t="str">
        <f>IF(LEN(ContactData!I4)&lt;3,"",ContactData!I4)</f>
        <v>(647) 918-9886</v>
      </c>
      <c r="E5" s="3" t="str">
        <f>ContactData!J4</f>
        <v>(905) 752-3511</v>
      </c>
      <c r="F5" s="3" t="str">
        <f>IF(LEN(ContactData!K4)&lt;3,"",ContactData!K4)</f>
        <v>williamlau@livinggroupinc.com</v>
      </c>
      <c r="G5"/>
      <c r="H5"/>
      <c r="I5"/>
    </row>
    <row r="6" spans="1:9" ht="14.4" x14ac:dyDescent="0.3">
      <c r="A6" s="9">
        <f>IF(LEN(ContactData!H5)&lt;3,"",ContactData!H5)</f>
        <v>228</v>
      </c>
      <c r="B6" s="3" t="str">
        <f>ContactData!E5</f>
        <v>Kelvin Wong</v>
      </c>
      <c r="C6" s="3" t="str">
        <f>ContactData!G5</f>
        <v>Broker of Record, Operating Principal</v>
      </c>
      <c r="D6" s="9" t="str">
        <f>IF(LEN(ContactData!I5)&lt;3,"",ContactData!I5)</f>
        <v>(416) 567-7882</v>
      </c>
      <c r="E6" s="3" t="str">
        <f>ContactData!J5</f>
        <v>---</v>
      </c>
      <c r="F6" s="3" t="str">
        <f>IF(LEN(ContactData!K5)&lt;3,"",ContactData!K5)</f>
        <v>kelvin@livingrealtykw.com</v>
      </c>
      <c r="G6"/>
      <c r="H6"/>
      <c r="I6"/>
    </row>
    <row r="7" spans="1:9" ht="14.4" x14ac:dyDescent="0.3">
      <c r="A7" s="9">
        <f>IF(LEN(ContactData!H6)&lt;3,"",ContactData!H6)</f>
        <v>521</v>
      </c>
      <c r="B7" s="3" t="str">
        <f>ContactData!E6</f>
        <v>Ben Wong</v>
      </c>
      <c r="C7" s="3" t="str">
        <f>ContactData!G6</f>
        <v>President &amp; C.L.O.</v>
      </c>
      <c r="D7" s="9" t="str">
        <f>IF(LEN(ContactData!I6)&lt;3,"",ContactData!I6)</f>
        <v>(416) 399-2311</v>
      </c>
      <c r="E7" s="3" t="str">
        <f>ContactData!J6</f>
        <v>(905) 752-3521</v>
      </c>
      <c r="F7" s="3" t="str">
        <f>IF(LEN(ContactData!K6)&lt;3,"",ContactData!K6)</f>
        <v>benwong@livingrealtykw.com</v>
      </c>
      <c r="G7"/>
      <c r="H7"/>
      <c r="I7"/>
    </row>
    <row r="8" spans="1:9" ht="14.4" x14ac:dyDescent="0.3">
      <c r="A8" s="9">
        <f>IF(LEN(ContactData!H7)&lt;3,"",ContactData!H7)</f>
        <v>165</v>
      </c>
      <c r="B8" s="3" t="str">
        <f>ContactData!E7</f>
        <v>David Wong</v>
      </c>
      <c r="C8" s="3" t="str">
        <f>ContactData!G7</f>
        <v>Vice President</v>
      </c>
      <c r="D8" s="9" t="str">
        <f>IF(LEN(ContactData!I7)&lt;3,"",ContactData!I7)</f>
        <v>(416) 230-8866</v>
      </c>
      <c r="E8" s="3" t="str">
        <f>ContactData!J7</f>
        <v>(905) 752-3176</v>
      </c>
      <c r="F8" s="3" t="str">
        <f>IF(LEN(ContactData!K7)&lt;3,"",ContactData!K7)</f>
        <v>davidwong@livingrealtykw.com</v>
      </c>
      <c r="G8"/>
      <c r="H8"/>
      <c r="I8"/>
    </row>
    <row r="9" spans="1:9" ht="14.4" x14ac:dyDescent="0.3">
      <c r="A9" s="9">
        <f>IF(LEN(ContactData!H8)&lt;3,"",ContactData!H8)</f>
        <v>502</v>
      </c>
      <c r="B9" s="3" t="str">
        <f>ContactData!E8</f>
        <v>Peter Woo</v>
      </c>
      <c r="C9" s="3" t="str">
        <f>ContactData!G8</f>
        <v>Broker of Record, Living Realty</v>
      </c>
      <c r="D9" s="9" t="str">
        <f>IF(LEN(ContactData!I8)&lt;3,"",ContactData!I8)</f>
        <v>(416) 569-6569</v>
      </c>
      <c r="E9" s="3" t="str">
        <f>ContactData!J8</f>
        <v>(905) 752-3502</v>
      </c>
      <c r="F9" s="3" t="str">
        <f>IF(LEN(ContactData!K8)&lt;3,"",ContactData!K8)</f>
        <v>pwoo@livinggroupinc.com</v>
      </c>
      <c r="G9"/>
      <c r="H9"/>
      <c r="I9"/>
    </row>
    <row r="10" spans="1:9" ht="14.4" x14ac:dyDescent="0.3">
      <c r="A10" s="9" t="str">
        <f>IF(LEN(ContactData!H9)&lt;3,"",ContactData!H9)</f>
        <v>---</v>
      </c>
      <c r="B10" s="3" t="str">
        <f>ContactData!E9</f>
        <v>Alan Cheung</v>
      </c>
      <c r="C10" s="3" t="str">
        <f>ContactData!G9</f>
        <v>Vice Presidnet, New Homes, Broker</v>
      </c>
      <c r="D10" s="9" t="str">
        <f>IF(LEN(ContactData!I9)&lt;3,"",ContactData!I9)</f>
        <v>(416) 669-0325</v>
      </c>
      <c r="E10" s="3" t="str">
        <f>ContactData!J9</f>
        <v>---</v>
      </c>
      <c r="F10" s="3" t="str">
        <f>IF(LEN(ContactData!K9)&lt;3,"",ContactData!K9)</f>
        <v>alancheung@livingrealtykw.com</v>
      </c>
      <c r="G10"/>
      <c r="H10"/>
      <c r="I10"/>
    </row>
    <row r="11" spans="1:9" ht="14.4" x14ac:dyDescent="0.3">
      <c r="A11" s="9" t="str">
        <f>IF(LEN(ContactData!H10)&lt;3,"",ContactData!H10)</f>
        <v>---</v>
      </c>
      <c r="B11" s="3" t="str">
        <f>ContactData!E10</f>
        <v>Andrew Chiang</v>
      </c>
      <c r="C11" s="3" t="str">
        <f>ContactData!G10</f>
        <v>Education and Training Co-ordinator</v>
      </c>
      <c r="D11" s="9" t="str">
        <f>IF(LEN(ContactData!I10)&lt;3,"",ContactData!I10)</f>
        <v>(647) 704-2388</v>
      </c>
      <c r="E11" s="3" t="str">
        <f>ContactData!J10</f>
        <v>---</v>
      </c>
      <c r="F11" s="3" t="str">
        <f>IF(LEN(ContactData!K10)&lt;3,"",ContactData!K10)</f>
        <v>andrewchiang@livingrealtykw.com</v>
      </c>
      <c r="G11"/>
      <c r="H11"/>
      <c r="I11"/>
    </row>
    <row r="12" spans="1:9" ht="14.4" x14ac:dyDescent="0.3">
      <c r="A12" s="9">
        <f>IF(LEN(ContactData!H11)&lt;3,"",ContactData!H11)</f>
        <v>509</v>
      </c>
      <c r="B12" s="3" t="str">
        <f>ContactData!E11</f>
        <v>Rocky Chow</v>
      </c>
      <c r="C12" s="3" t="str">
        <f>ContactData!G11</f>
        <v>Executive Assistant to Chairman</v>
      </c>
      <c r="D12" s="9" t="str">
        <f>IF(LEN(ContactData!I11)&lt;3,"",ContactData!I11)</f>
        <v>(647) 818-1818</v>
      </c>
      <c r="E12" s="3" t="str">
        <f>ContactData!J11</f>
        <v>---</v>
      </c>
      <c r="F12" s="3" t="str">
        <f>IF(LEN(ContactData!K11)&lt;3,"",ContactData!K11)</f>
        <v>rockychow@livinggroupinc.com</v>
      </c>
      <c r="G12"/>
      <c r="H12"/>
      <c r="I12"/>
    </row>
    <row r="13" spans="1:9" ht="14.4" x14ac:dyDescent="0.3">
      <c r="A13" s="9">
        <f>IF(LEN(ContactData!H12)&lt;3,"",ContactData!H12)</f>
        <v>504</v>
      </c>
      <c r="B13" s="3" t="str">
        <f>ContactData!E12</f>
        <v>Eddie Tang</v>
      </c>
      <c r="C13" s="3" t="str">
        <f>ContactData!G12</f>
        <v>Market Center Administrator, Executive Group Controller</v>
      </c>
      <c r="D13" s="9" t="str">
        <f>IF(LEN(ContactData!I12)&lt;3,"",ContactData!I12)</f>
        <v>(416) 723-8329</v>
      </c>
      <c r="E13" s="3" t="str">
        <f>ContactData!J12</f>
        <v>(905) 752-3504</v>
      </c>
      <c r="F13" s="3" t="str">
        <f>IF(LEN(ContactData!K12)&lt;3,"",ContactData!K12)</f>
        <v>eddietang@livingrealtykw.com</v>
      </c>
      <c r="G13"/>
      <c r="H13"/>
      <c r="I13"/>
    </row>
    <row r="14" spans="1:9" ht="14.4" x14ac:dyDescent="0.3">
      <c r="A14" s="9">
        <f>IF(LEN(ContactData!H13)&lt;3,"",ContactData!H13)</f>
        <v>514</v>
      </c>
      <c r="B14" s="3" t="str">
        <f>ContactData!E13</f>
        <v>Winnie Tsui</v>
      </c>
      <c r="C14" s="3" t="str">
        <f>ContactData!G13</f>
        <v>Senior Manager, Accounting &amp; Operations</v>
      </c>
      <c r="D14" s="9" t="str">
        <f>IF(LEN(ContactData!I13)&lt;3,"",ContactData!I13)</f>
        <v>(647) 286-0145</v>
      </c>
      <c r="E14" s="3" t="str">
        <f>ContactData!J13</f>
        <v>(905) 752-3514</v>
      </c>
      <c r="F14" s="3" t="str">
        <f>IF(LEN(ContactData!K13)&lt;3,"",ContactData!K13)</f>
        <v>winniet@livingproperties.com</v>
      </c>
      <c r="G14"/>
      <c r="H14"/>
      <c r="I14"/>
    </row>
    <row r="15" spans="1:9" ht="14.4" x14ac:dyDescent="0.3">
      <c r="A15" s="9">
        <f>IF(LEN(ContactData!H14)&lt;3,"",ContactData!H14)</f>
        <v>224</v>
      </c>
      <c r="B15" s="3" t="str">
        <f>ContactData!E14</f>
        <v>Dan Flomen</v>
      </c>
      <c r="C15" s="3" t="str">
        <f>ContactData!G14</f>
        <v>Team Leader</v>
      </c>
      <c r="D15" s="9" t="str">
        <f>IF(LEN(ContactData!I14)&lt;3,"",ContactData!I14)</f>
        <v>---</v>
      </c>
      <c r="E15" s="3" t="str">
        <f>ContactData!J14</f>
        <v>(905) 489-8989</v>
      </c>
      <c r="F15" s="3" t="str">
        <f>IF(LEN(ContactData!K14)&lt;3,"",ContactData!K14)</f>
        <v>dan@livingrealtykw.com</v>
      </c>
      <c r="G15"/>
      <c r="H15"/>
      <c r="I15"/>
    </row>
    <row r="16" spans="1:9" ht="14.4" x14ac:dyDescent="0.3">
      <c r="A16" s="9">
        <f>IF(LEN(ContactData!H15)&lt;3,"",ContactData!H15)</f>
        <v>282</v>
      </c>
      <c r="B16" s="3" t="str">
        <f>ContactData!E15</f>
        <v>Joanna Xie</v>
      </c>
      <c r="C16" s="3" t="str">
        <f>ContactData!G15</f>
        <v>Agent Services Coordinator</v>
      </c>
      <c r="D16" s="9" t="str">
        <f>IF(LEN(ContactData!I15)&lt;3,"",ContactData!I15)</f>
        <v>---</v>
      </c>
      <c r="E16" s="3" t="str">
        <f>ContactData!J15</f>
        <v>---</v>
      </c>
      <c r="F16" s="3" t="str">
        <f>IF(LEN(ContactData!K15)&lt;3,"",ContactData!K15)</f>
        <v>joannaxie@livingrealtykw.com</v>
      </c>
      <c r="G16"/>
      <c r="H16"/>
      <c r="I16"/>
    </row>
    <row r="17" spans="1:9" ht="14.4" x14ac:dyDescent="0.3">
      <c r="A17" s="9">
        <f>IF(LEN(ContactData!H16)&lt;3,"",ContactData!H16)</f>
        <v>123</v>
      </c>
      <c r="B17" s="3" t="str">
        <f>ContactData!E16</f>
        <v>Wendy Chung</v>
      </c>
      <c r="C17" s="3" t="str">
        <f>ContactData!G16</f>
        <v xml:space="preserve">Administration Officer </v>
      </c>
      <c r="D17" s="9" t="str">
        <f>IF(LEN(ContactData!I16)&lt;3,"",ContactData!I16)</f>
        <v>---</v>
      </c>
      <c r="E17" s="3" t="str">
        <f>ContactData!J16</f>
        <v>---</v>
      </c>
      <c r="F17" s="3" t="str">
        <f>IF(LEN(ContactData!K16)&lt;3,"",ContactData!K16)</f>
        <v>wendychung@livingrealtykw.com</v>
      </c>
      <c r="G17"/>
      <c r="H17"/>
      <c r="I17"/>
    </row>
    <row r="18" spans="1:9" ht="14.4" x14ac:dyDescent="0.3">
      <c r="A18" s="9">
        <f>IF(LEN(ContactData!H17)&lt;3,"",ContactData!H17)</f>
        <v>206</v>
      </c>
      <c r="B18" s="3" t="str">
        <f>ContactData!E17</f>
        <v>Benjamin Wong</v>
      </c>
      <c r="C18" s="3" t="str">
        <f>ContactData!G17</f>
        <v>Assistant to the Broker of Record</v>
      </c>
      <c r="D18" s="9" t="str">
        <f>IF(LEN(ContactData!I17)&lt;3,"",ContactData!I17)</f>
        <v>---</v>
      </c>
      <c r="E18" s="3" t="str">
        <f>ContactData!J17</f>
        <v>---</v>
      </c>
      <c r="F18" s="3" t="str">
        <f>IF(LEN(ContactData!K17)&lt;3,"",ContactData!K17)</f>
        <v>benjaminwongici@livingrealtykw.com</v>
      </c>
      <c r="G18"/>
      <c r="H18"/>
      <c r="I18"/>
    </row>
    <row r="19" spans="1:9" ht="14.4" x14ac:dyDescent="0.3">
      <c r="A19" s="9">
        <f>IF(LEN(ContactData!H18)&lt;3,"",ContactData!H18)</f>
        <v>507</v>
      </c>
      <c r="B19" s="3" t="str">
        <f>ContactData!E18</f>
        <v>Luvie Chao</v>
      </c>
      <c r="C19" s="3" t="str">
        <f>ContactData!G18</f>
        <v>Senior Deal Administrator</v>
      </c>
      <c r="D19" s="9" t="str">
        <f>IF(LEN(ContactData!I18)&lt;3,"",ContactData!I18)</f>
        <v>---</v>
      </c>
      <c r="E19" s="3" t="str">
        <f>ContactData!J18</f>
        <v>(905) 752-3507</v>
      </c>
      <c r="F19" s="3" t="str">
        <f>IF(LEN(ContactData!K18)&lt;3,"",ContactData!K18)</f>
        <v>luvie@livingrealtykw.com</v>
      </c>
      <c r="G19"/>
      <c r="H19"/>
      <c r="I19"/>
    </row>
    <row r="20" spans="1:9" ht="14.4" x14ac:dyDescent="0.3">
      <c r="A20" s="9">
        <f>IF(LEN(ContactData!H19)&lt;3,"",ContactData!H19)</f>
        <v>508</v>
      </c>
      <c r="B20" s="3" t="str">
        <f>ContactData!E19</f>
        <v>Maria Leung</v>
      </c>
      <c r="C20" s="3" t="str">
        <f>ContactData!G19</f>
        <v>Deal Administrator</v>
      </c>
      <c r="D20" s="9" t="str">
        <f>IF(LEN(ContactData!I19)&lt;3,"",ContactData!I19)</f>
        <v>---</v>
      </c>
      <c r="E20" s="3" t="str">
        <f>ContactData!J19</f>
        <v>(905) 752-3508</v>
      </c>
      <c r="F20" s="3" t="str">
        <f>IF(LEN(ContactData!K19)&lt;3,"",ContactData!K19)</f>
        <v>marialeung@livingrealtykw.com</v>
      </c>
      <c r="G20"/>
      <c r="H20"/>
      <c r="I20"/>
    </row>
    <row r="21" spans="1:9" ht="14.4" x14ac:dyDescent="0.3">
      <c r="A21" s="9">
        <f>IF(LEN(ContactData!H20)&lt;3,"",ContactData!H20)</f>
        <v>255</v>
      </c>
      <c r="B21" s="3" t="str">
        <f>ContactData!E20</f>
        <v>Ken Cheung</v>
      </c>
      <c r="C21" s="3" t="str">
        <f>ContactData!G20</f>
        <v>Deal Administrator</v>
      </c>
      <c r="D21" s="9" t="str">
        <f>IF(LEN(ContactData!I20)&lt;3,"",ContactData!I20)</f>
        <v>---</v>
      </c>
      <c r="E21" s="3" t="str">
        <f>ContactData!J20</f>
        <v>---</v>
      </c>
      <c r="F21" s="3" t="str">
        <f>IF(LEN(ContactData!K20)&lt;3,"",ContactData!K20)</f>
        <v>kencheung@livingrealtykw.com</v>
      </c>
      <c r="G21"/>
      <c r="H21"/>
      <c r="I21"/>
    </row>
    <row r="22" spans="1:9" ht="14.4" x14ac:dyDescent="0.3">
      <c r="A22" s="9">
        <f>IF(LEN(ContactData!H21)&lt;3,"",ContactData!H21)</f>
        <v>506</v>
      </c>
      <c r="B22" s="3" t="str">
        <f>ContactData!E21</f>
        <v>Connie Cheung</v>
      </c>
      <c r="C22" s="3" t="str">
        <f>ContactData!G21</f>
        <v>Accounting Bookkeeper</v>
      </c>
      <c r="D22" s="9" t="str">
        <f>IF(LEN(ContactData!I21)&lt;3,"",ContactData!I21)</f>
        <v>---</v>
      </c>
      <c r="E22" s="3" t="str">
        <f>ContactData!J21</f>
        <v>(905) 752-3506</v>
      </c>
      <c r="F22" s="3" t="str">
        <f>IF(LEN(ContactData!K21)&lt;3,"",ContactData!K21)</f>
        <v>conniecheung@livingrealtykw.com</v>
      </c>
      <c r="G22"/>
      <c r="H22"/>
      <c r="I22"/>
    </row>
    <row r="23" spans="1:9" ht="14.4" x14ac:dyDescent="0.3">
      <c r="A23" s="9">
        <f>IF(LEN(ContactData!H22)&lt;3,"",ContactData!H22)</f>
        <v>519</v>
      </c>
      <c r="B23" s="3" t="str">
        <f>ContactData!E22</f>
        <v>Simon Chan</v>
      </c>
      <c r="C23" s="3" t="str">
        <f>ContactData!G22</f>
        <v>Operations Assistant</v>
      </c>
      <c r="D23" s="9" t="str">
        <f>IF(LEN(ContactData!I22)&lt;3,"",ContactData!I22)</f>
        <v>---</v>
      </c>
      <c r="E23" s="3" t="str">
        <f>ContactData!J22</f>
        <v>(905) 752-3519</v>
      </c>
      <c r="F23" s="3" t="str">
        <f>IF(LEN(ContactData!K22)&lt;3,"",ContactData!K22)</f>
        <v>simonchan@livingrealtykw.com</v>
      </c>
      <c r="G23"/>
      <c r="H23"/>
      <c r="I23"/>
    </row>
    <row r="24" spans="1:9" ht="14.4" x14ac:dyDescent="0.3">
      <c r="A24" s="9">
        <f>IF(LEN(ContactData!H23)&lt;3,"",ContactData!H23)</f>
        <v>121</v>
      </c>
      <c r="B24" s="3" t="str">
        <f>ContactData!E23</f>
        <v>Kelly Wan</v>
      </c>
      <c r="C24" s="3" t="str">
        <f>ContactData!G23</f>
        <v xml:space="preserve">Digital Artist &amp; Content Creator </v>
      </c>
      <c r="D24" s="9" t="str">
        <f>IF(LEN(ContactData!I23)&lt;3,"",ContactData!I23)</f>
        <v>---</v>
      </c>
      <c r="E24" s="3" t="str">
        <f>ContactData!J23</f>
        <v>---</v>
      </c>
      <c r="F24" s="3" t="str">
        <f>IF(LEN(ContactData!K23)&lt;3,"",ContactData!K23)</f>
        <v>kellywan@livingrealtykw.com</v>
      </c>
      <c r="G24"/>
      <c r="H24"/>
      <c r="I24"/>
    </row>
    <row r="25" spans="1:9" ht="14.4" x14ac:dyDescent="0.3">
      <c r="A25" s="9">
        <f>IF(LEN(ContactData!H24)&lt;3,"",ContactData!H24)</f>
        <v>522</v>
      </c>
      <c r="B25" s="3" t="str">
        <f>ContactData!E24</f>
        <v>Nelson Lau</v>
      </c>
      <c r="C25" s="3" t="str">
        <f>ContactData!G24</f>
        <v>Senior Technical Specialist &amp; System Architech</v>
      </c>
      <c r="D25" s="9" t="str">
        <f>IF(LEN(ContactData!I24)&lt;3,"",ContactData!I24)</f>
        <v>(647) 701-8828</v>
      </c>
      <c r="E25" s="3" t="str">
        <f>ContactData!J24</f>
        <v>(905) 752-3522</v>
      </c>
      <c r="F25" s="3" t="str">
        <f>IF(LEN(ContactData!K24)&lt;3,"",ContactData!K24)</f>
        <v>nelsonlau@livingrealtykw.com</v>
      </c>
      <c r="G25"/>
      <c r="H25"/>
      <c r="I25"/>
    </row>
    <row r="26" spans="1:9" ht="14.4" x14ac:dyDescent="0.3">
      <c r="A26" s="9">
        <f>IF(LEN(ContactData!H25)&lt;3,"",ContactData!H25)</f>
        <v>522</v>
      </c>
      <c r="B26" s="3" t="str">
        <f>ContactData!E25</f>
        <v>IT Support</v>
      </c>
      <c r="C26" s="3" t="str">
        <f>ContactData!G25</f>
        <v>Information Technology Technical Support</v>
      </c>
      <c r="D26" s="9" t="str">
        <f>IF(LEN(ContactData!I25)&lt;3,"",ContactData!I25)</f>
        <v>---</v>
      </c>
      <c r="E26" s="3" t="str">
        <f>ContactData!J25</f>
        <v>(905) 752-3522</v>
      </c>
      <c r="F26" s="3" t="str">
        <f>IF(LEN(ContactData!K25)&lt;3,"",ContactData!K25)</f>
        <v>itsupport@livingrealtykw.com</v>
      </c>
      <c r="G26"/>
      <c r="H26"/>
      <c r="I26"/>
    </row>
    <row r="27" spans="1:9" ht="14.4" x14ac:dyDescent="0.3">
      <c r="A27" s="9" t="str">
        <f>IF(LEN(ContactData!H26)&lt;3,"",ContactData!H26)</f>
        <v/>
      </c>
      <c r="B27" s="3" t="str">
        <f>ContactData!E26</f>
        <v>North Markham Office</v>
      </c>
      <c r="C27" s="3" t="str">
        <f>ContactData!G26</f>
        <v>735 Markland St, Unit 12&amp;13, Markham, ON, L6C 0G6</v>
      </c>
      <c r="D27" s="9" t="str">
        <f>IF(LEN(ContactData!I26)&lt;3,"",ContactData!I26)</f>
        <v/>
      </c>
      <c r="E27" s="3" t="str">
        <f>ContactData!J26</f>
        <v>T: (905) 888-8188</v>
      </c>
      <c r="F27" s="3" t="str">
        <f>IF(LEN(ContactData!K26)&lt;3,"",ContactData!K26)</f>
        <v>northmarkham@livingrealtykw.com</v>
      </c>
      <c r="G27"/>
      <c r="H27"/>
      <c r="I27"/>
    </row>
    <row r="28" spans="1:9" ht="14.4" x14ac:dyDescent="0.3">
      <c r="A28" s="9" t="str">
        <f>IF(LEN(ContactData!H27)&lt;3,"",ContactData!H27)</f>
        <v>---</v>
      </c>
      <c r="B28" s="3" t="str">
        <f>ContactData!E27</f>
        <v>Chris Tam</v>
      </c>
      <c r="C28" s="3" t="str">
        <f>ContactData!G27</f>
        <v>Manager North Markham Branch</v>
      </c>
      <c r="D28" s="9" t="str">
        <f>IF(LEN(ContactData!I27)&lt;3,"",ContactData!I27)</f>
        <v>(416) 505-6625</v>
      </c>
      <c r="E28" s="3" t="str">
        <f>ContactData!J27</f>
        <v>---</v>
      </c>
      <c r="F28" s="3" t="str">
        <f>IF(LEN(ContactData!K27)&lt;3,"",ContactData!K27)</f>
        <v>christam@livingrealtykw.com</v>
      </c>
      <c r="G28"/>
      <c r="H28"/>
      <c r="I28"/>
    </row>
    <row r="29" spans="1:9" ht="14.4" x14ac:dyDescent="0.3">
      <c r="A29" s="9" t="str">
        <f>IF(LEN(ContactData!H28)&lt;3,"",ContactData!H28)</f>
        <v>---</v>
      </c>
      <c r="B29" s="3" t="str">
        <f>ContactData!E28</f>
        <v>Grace Chui</v>
      </c>
      <c r="C29" s="3" t="str">
        <f>ContactData!G28</f>
        <v>Head Secretary</v>
      </c>
      <c r="D29" s="9" t="str">
        <f>IF(LEN(ContactData!I28)&lt;3,"",ContactData!I28)</f>
        <v>---</v>
      </c>
      <c r="E29" s="3" t="str">
        <f>ContactData!J28</f>
        <v>(905) 888-8188</v>
      </c>
      <c r="F29" s="3" t="str">
        <f>IF(LEN(ContactData!K28)&lt;3,"",ContactData!K28)</f>
        <v>gracemschui@livingrealtykw.com</v>
      </c>
      <c r="G29"/>
      <c r="H29"/>
      <c r="I29"/>
    </row>
    <row r="30" spans="1:9" ht="14.4" x14ac:dyDescent="0.3">
      <c r="A30" s="9" t="str">
        <f>IF(LEN(ContactData!H29)&lt;3,"",ContactData!H29)</f>
        <v>---</v>
      </c>
      <c r="B30" s="3" t="str">
        <f>ContactData!E29</f>
        <v>Kiran Li</v>
      </c>
      <c r="C30" s="3" t="str">
        <f>ContactData!G29</f>
        <v>Secretary</v>
      </c>
      <c r="D30" s="9" t="str">
        <f>IF(LEN(ContactData!I29)&lt;3,"",ContactData!I29)</f>
        <v>---</v>
      </c>
      <c r="E30" s="3" t="str">
        <f>ContactData!J29</f>
        <v>(905) 888-8188</v>
      </c>
      <c r="F30" s="3" t="str">
        <f>IF(LEN(ContactData!K29)&lt;3,"",ContactData!K29)</f>
        <v>kiranli@livingrealtykw.com</v>
      </c>
      <c r="G30"/>
      <c r="H30"/>
      <c r="I30"/>
    </row>
    <row r="31" spans="1:9" ht="14.4" x14ac:dyDescent="0.3">
      <c r="A31" s="9" t="str">
        <f>IF(LEN(ContactData!H30)&lt;3,"",ContactData!H30)</f>
        <v/>
      </c>
      <c r="B31" s="3" t="str">
        <f>ContactData!E30</f>
        <v>Mississauga Office</v>
      </c>
      <c r="C31" s="3" t="str">
        <f>ContactData!G30</f>
        <v>1177 Central Parkway West, Golden Square, Unit 32, Mississauga, ON, L5C 4P3</v>
      </c>
      <c r="D31" s="9" t="str">
        <f>IF(LEN(ContactData!I30)&lt;3,"",ContactData!I30)</f>
        <v/>
      </c>
      <c r="E31" s="3" t="str">
        <f>ContactData!J30</f>
        <v>T: (905) 896-0002</v>
      </c>
      <c r="F31" s="3" t="str">
        <f>IF(LEN(ContactData!K30)&lt;3,"",ContactData!K30)</f>
        <v>mississauga@livingrealtykw.com</v>
      </c>
      <c r="G31"/>
      <c r="H31"/>
      <c r="I31"/>
    </row>
    <row r="32" spans="1:9" ht="14.4" x14ac:dyDescent="0.3">
      <c r="A32" s="9" t="str">
        <f>IF(LEN(ContactData!H31)&lt;3,"",ContactData!H31)</f>
        <v>---</v>
      </c>
      <c r="B32" s="3" t="str">
        <f>ContactData!E31</f>
        <v>Cassandra Pacitto</v>
      </c>
      <c r="C32" s="3" t="str">
        <f>ContactData!G31</f>
        <v>Manager Mississauga Branch</v>
      </c>
      <c r="D32" s="9" t="str">
        <f>IF(LEN(ContactData!I31)&lt;3,"",ContactData!I31)</f>
        <v>(905) 896-0002</v>
      </c>
      <c r="E32" s="3" t="str">
        <f>ContactData!J31</f>
        <v>---</v>
      </c>
      <c r="F32" s="3" t="str">
        <f>IF(LEN(ContactData!K31)&lt;3,"",ContactData!K31)</f>
        <v>cassandrapacitto@livingrealtykw.com</v>
      </c>
      <c r="G32"/>
      <c r="H32"/>
      <c r="I32"/>
    </row>
    <row r="33" spans="1:9" ht="14.4" x14ac:dyDescent="0.3">
      <c r="A33" s="9" t="str">
        <f>IF(LEN(ContactData!H32)&lt;3,"",ContactData!H32)</f>
        <v>---</v>
      </c>
      <c r="B33" s="3" t="str">
        <f>ContactData!E32</f>
        <v>Katie Wong</v>
      </c>
      <c r="C33" s="3" t="str">
        <f>ContactData!G32</f>
        <v>Secretary</v>
      </c>
      <c r="D33" s="9" t="str">
        <f>IF(LEN(ContactData!I32)&lt;3,"",ContactData!I32)</f>
        <v>---</v>
      </c>
      <c r="E33" s="3" t="str">
        <f>ContactData!J32</f>
        <v>(905) 896-0002</v>
      </c>
      <c r="F33" s="3" t="str">
        <f>IF(LEN(ContactData!K32)&lt;3,"",ContactData!K32)</f>
        <v>katiewong@livingrealtykw.com</v>
      </c>
      <c r="G33"/>
      <c r="H33"/>
      <c r="I33"/>
    </row>
    <row r="34" spans="1:9" ht="14.4" x14ac:dyDescent="0.3">
      <c r="A34" s="9" t="str">
        <f>IF(LEN(ContactData!H33)&lt;3,"",ContactData!H33)</f>
        <v>---</v>
      </c>
      <c r="B34" s="3" t="str">
        <f>ContactData!E33</f>
        <v>Juliana Monize</v>
      </c>
      <c r="C34" s="3" t="str">
        <f>ContactData!G33</f>
        <v>Secretary</v>
      </c>
      <c r="D34" s="9" t="str">
        <f>IF(LEN(ContactData!I33)&lt;3,"",ContactData!I33)</f>
        <v>---</v>
      </c>
      <c r="E34" s="3" t="str">
        <f>ContactData!J33</f>
        <v>(905) 896-0002</v>
      </c>
      <c r="F34" s="3" t="str">
        <f>IF(LEN(ContactData!K33)&lt;3,"",ContactData!K33)</f>
        <v>julianamonize@livingrealtykw.com</v>
      </c>
      <c r="G34"/>
      <c r="H34"/>
      <c r="I34"/>
    </row>
    <row r="35" spans="1:9" ht="14.4" x14ac:dyDescent="0.3">
      <c r="A35" s="9" t="str">
        <f>IF(LEN(ContactData!H34)&lt;3,"",ContactData!H34)</f>
        <v/>
      </c>
      <c r="B35" s="3" t="str">
        <f>ContactData!E34</f>
        <v>Woodbine Office</v>
      </c>
      <c r="C35" s="3" t="str">
        <f>ContactData!G34</f>
        <v>8 Steelcase Road West, Markham, ON, L3R 1B2</v>
      </c>
      <c r="D35" s="9" t="str">
        <f>IF(LEN(ContactData!I34)&lt;3,"",ContactData!I34)</f>
        <v/>
      </c>
      <c r="E35" s="3" t="str">
        <f>ContactData!J34</f>
        <v>T: (905) 474-0500</v>
      </c>
      <c r="F35" s="3" t="str">
        <f>IF(LEN(ContactData!K34)&lt;3,"",ContactData!K34)</f>
        <v>woodbine@livingrealtykw.com</v>
      </c>
      <c r="G35"/>
      <c r="H35"/>
      <c r="I35"/>
    </row>
    <row r="36" spans="1:9" ht="14.4" x14ac:dyDescent="0.3">
      <c r="A36" s="9">
        <f>IF(LEN(ContactData!H35)&lt;3,"",ContactData!H35)</f>
        <v>176</v>
      </c>
      <c r="B36" s="3" t="str">
        <f>ContactData!E35</f>
        <v>Anita Huang</v>
      </c>
      <c r="C36" s="3" t="str">
        <f>ContactData!G35</f>
        <v>Manager Woobine Branch</v>
      </c>
      <c r="D36" s="9" t="str">
        <f>IF(LEN(ContactData!I35)&lt;3,"",ContactData!I35)</f>
        <v>(416) 523-1888</v>
      </c>
      <c r="E36" s="3" t="str">
        <f>ContactData!J35</f>
        <v>---</v>
      </c>
      <c r="F36" s="3" t="str">
        <f>IF(LEN(ContactData!K35)&lt;3,"",ContactData!K35)</f>
        <v>anitahuang@livingrealtykw.com</v>
      </c>
      <c r="G36"/>
      <c r="H36"/>
      <c r="I36"/>
    </row>
    <row r="37" spans="1:9" ht="14.4" x14ac:dyDescent="0.3">
      <c r="A37" s="9">
        <f>IF(LEN(ContactData!H36)&lt;3,"",ContactData!H36)</f>
        <v>100</v>
      </c>
      <c r="B37" s="3" t="str">
        <f>ContactData!E36</f>
        <v>Savanna Joo</v>
      </c>
      <c r="C37" s="3" t="str">
        <f>ContactData!G36</f>
        <v>Secretary</v>
      </c>
      <c r="D37" s="9" t="str">
        <f>IF(LEN(ContactData!I36)&lt;3,"",ContactData!I36)</f>
        <v>---</v>
      </c>
      <c r="E37" s="3" t="str">
        <f>ContactData!J36</f>
        <v>(905) 474-0500</v>
      </c>
      <c r="F37" s="3" t="str">
        <f>IF(LEN(ContactData!K36)&lt;3,"",ContactData!K36)</f>
        <v>savannajoo@livingrealtykw.com</v>
      </c>
      <c r="G37"/>
      <c r="H37"/>
      <c r="I37"/>
    </row>
    <row r="38" spans="1:9" ht="14.4" x14ac:dyDescent="0.3">
      <c r="A38" s="9">
        <f>IF(LEN(ContactData!H37)&lt;3,"",ContactData!H37)</f>
        <v>104</v>
      </c>
      <c r="B38" s="3" t="str">
        <f>ContactData!E37</f>
        <v>Riley Lam</v>
      </c>
      <c r="C38" s="3" t="str">
        <f>ContactData!G37</f>
        <v>Secretary</v>
      </c>
      <c r="D38" s="9" t="str">
        <f>IF(LEN(ContactData!I37)&lt;3,"",ContactData!I37)</f>
        <v>---</v>
      </c>
      <c r="E38" s="3" t="str">
        <f>ContactData!J37</f>
        <v>(905) 474-0500</v>
      </c>
      <c r="F38" s="3" t="str">
        <f>IF(LEN(ContactData!K37)&lt;3,"",ContactData!K37)</f>
        <v>rileylam@livingrealtykw.com</v>
      </c>
      <c r="G38"/>
      <c r="H38"/>
      <c r="I38"/>
    </row>
    <row r="39" spans="1:9" ht="14.4" x14ac:dyDescent="0.3">
      <c r="A39" s="9" t="str">
        <f>IF(LEN(ContactData!H38)&lt;3,"",ContactData!H38)</f>
        <v/>
      </c>
      <c r="B39" s="3" t="str">
        <f>ContactData!E38</f>
        <v>Yonge &amp; Eglinton Office</v>
      </c>
      <c r="C39" s="3" t="str">
        <f>ContactData!G38</f>
        <v>2301 Yonge Street, Toronto, ON, M4P 2C6</v>
      </c>
      <c r="D39" s="9" t="str">
        <f>IF(LEN(ContactData!I38)&lt;3,"",ContactData!I38)</f>
        <v/>
      </c>
      <c r="E39" s="3" t="str">
        <f>ContactData!J38</f>
        <v>T: (416) 223-8833</v>
      </c>
      <c r="F39" s="3" t="str">
        <f>IF(LEN(ContactData!K38)&lt;3,"",ContactData!K38)</f>
        <v>ye@livingrealtykw.com</v>
      </c>
      <c r="G39"/>
      <c r="H39"/>
      <c r="I39"/>
    </row>
    <row r="40" spans="1:9" ht="14.4" x14ac:dyDescent="0.3">
      <c r="A40" s="9" t="str">
        <f>IF(LEN(ContactData!H39)&lt;3,"",ContactData!H39)</f>
        <v>---</v>
      </c>
      <c r="B40" s="3" t="str">
        <f>ContactData!E39</f>
        <v xml:space="preserve">Tony Prochilo </v>
      </c>
      <c r="C40" s="3" t="str">
        <f>ContactData!G39</f>
        <v>Manager Yonge &amp; Eglinton</v>
      </c>
      <c r="D40" s="9" t="str">
        <f>IF(LEN(ContactData!I39)&lt;3,"",ContactData!I39)</f>
        <v>(416) 576-6312</v>
      </c>
      <c r="E40" s="3" t="str">
        <f>ContactData!J39</f>
        <v>---</v>
      </c>
      <c r="F40" s="3" t="str">
        <f>IF(LEN(ContactData!K39)&lt;3,"",ContactData!K39)</f>
        <v>tonyprochilo@livingrealtykw.com</v>
      </c>
      <c r="G40"/>
      <c r="H40"/>
      <c r="I40"/>
    </row>
    <row r="41" spans="1:9" ht="14.4" x14ac:dyDescent="0.3">
      <c r="A41" s="9" t="str">
        <f>IF(LEN(ContactData!H40)&lt;3,"",ContactData!H40)</f>
        <v>---</v>
      </c>
      <c r="B41" s="3" t="str">
        <f>ContactData!E40</f>
        <v>Lydia Ng</v>
      </c>
      <c r="C41" s="3" t="str">
        <f>ContactData!G40</f>
        <v>Secretary</v>
      </c>
      <c r="D41" s="9" t="str">
        <f>IF(LEN(ContactData!I40)&lt;3,"",ContactData!I40)</f>
        <v>---</v>
      </c>
      <c r="E41" s="3" t="str">
        <f>ContactData!J40</f>
        <v>(416) 223-8833</v>
      </c>
      <c r="F41" s="3" t="str">
        <f>IF(LEN(ContactData!K40)&lt;3,"",ContactData!K40)</f>
        <v>lydiang@livingrealtykw.com</v>
      </c>
      <c r="G41"/>
      <c r="H41"/>
      <c r="I41"/>
    </row>
    <row r="42" spans="1:9" ht="14.4" x14ac:dyDescent="0.3">
      <c r="A42" s="9" t="str">
        <f>IF(LEN(ContactData!H41)&lt;3,"",ContactData!H41)</f>
        <v/>
      </c>
      <c r="B42" s="3" t="str">
        <f>ContactData!E41</f>
        <v>I.C.&amp;I. Office</v>
      </c>
      <c r="C42" s="3" t="str">
        <f>ContactData!G41</f>
        <v>8 Steelcase Road West, Unit C, Markham, ON, L3R 1B2</v>
      </c>
      <c r="D42" s="9" t="str">
        <f>IF(LEN(ContactData!I41)&lt;3,"",ContactData!I41)</f>
        <v/>
      </c>
      <c r="E42" s="3" t="str">
        <f>ContactData!J41</f>
        <v>T: (905) 474-1772</v>
      </c>
      <c r="F42" s="3" t="str">
        <f>IF(LEN(ContactData!K41)&lt;3,"",ContactData!K41)</f>
        <v/>
      </c>
      <c r="G42"/>
      <c r="H42"/>
      <c r="I42"/>
    </row>
    <row r="43" spans="1:9" ht="14.4" x14ac:dyDescent="0.3">
      <c r="A43" s="9">
        <f>IF(LEN(ContactData!H42)&lt;3,"",ContactData!H42)</f>
        <v>228</v>
      </c>
      <c r="B43" s="3" t="str">
        <f>ContactData!E42</f>
        <v>Kelvin Wong</v>
      </c>
      <c r="C43" s="3" t="str">
        <f>ContactData!G42</f>
        <v>Manager I.C.&amp;I. Branch</v>
      </c>
      <c r="D43" s="9" t="str">
        <f>IF(LEN(ContactData!I42)&lt;3,"",ContactData!I42)</f>
        <v>(416) 567-7882</v>
      </c>
      <c r="E43" s="3" t="str">
        <f>ContactData!J42</f>
        <v>---</v>
      </c>
      <c r="F43" s="3" t="str">
        <f>IF(LEN(ContactData!K42)&lt;3,"",ContactData!K42)</f>
        <v>kelvin@livingrealtykw.com</v>
      </c>
      <c r="G43"/>
      <c r="H43"/>
      <c r="I43"/>
    </row>
    <row r="44" spans="1:9" ht="14.4" x14ac:dyDescent="0.3">
      <c r="A44" s="9" t="str">
        <f>IF(LEN(ContactData!H43)&lt;3,"",ContactData!H43)</f>
        <v/>
      </c>
      <c r="B44" s="3" t="str">
        <f>ContactData!E43</f>
        <v>LPI Head Office</v>
      </c>
      <c r="C44" s="3" t="str">
        <f>ContactData!G43</f>
        <v>8 Steelcase Road West, Markham, ON, L3R 1B2</v>
      </c>
      <c r="D44" s="9" t="str">
        <f>IF(LEN(ContactData!I43)&lt;3,"",ContactData!I43)</f>
        <v/>
      </c>
      <c r="E44" s="3" t="str">
        <f>ContactData!J43</f>
        <v>T: (905) 477-2090</v>
      </c>
      <c r="F44" s="3" t="str">
        <f>IF(LEN(ContactData!K43)&lt;3,"",ContactData!K43)</f>
        <v/>
      </c>
      <c r="G44"/>
      <c r="H44"/>
      <c r="I44"/>
    </row>
    <row r="45" spans="1:9" ht="14.4" x14ac:dyDescent="0.3">
      <c r="A45" s="9">
        <f>IF(LEN(ContactData!H44)&lt;3,"",ContactData!H44)</f>
        <v>521</v>
      </c>
      <c r="B45" s="3" t="str">
        <f>ContactData!E44</f>
        <v>Ben Wong</v>
      </c>
      <c r="C45" s="3" t="str">
        <f>ContactData!G44</f>
        <v>President</v>
      </c>
      <c r="D45" s="9" t="str">
        <f>IF(LEN(ContactData!I44)&lt;3,"",ContactData!I44)</f>
        <v>(416) 399-2311</v>
      </c>
      <c r="E45" s="3" t="str">
        <f>ContactData!J44</f>
        <v>(905) 752-3521</v>
      </c>
      <c r="F45" s="3" t="str">
        <f>IF(LEN(ContactData!K44)&lt;3,"",ContactData!K44)</f>
        <v>benw@livingproperties.com</v>
      </c>
      <c r="G45"/>
      <c r="H45"/>
      <c r="I45"/>
    </row>
    <row r="46" spans="1:9" ht="14.4" x14ac:dyDescent="0.3">
      <c r="A46" s="9">
        <f>IF(LEN(ContactData!H45)&lt;3,"",ContactData!H45)</f>
        <v>514</v>
      </c>
      <c r="B46" s="3" t="str">
        <f>ContactData!E45</f>
        <v>Winnie Tsui</v>
      </c>
      <c r="C46" s="3" t="str">
        <f>ContactData!G45</f>
        <v>Director of Operations</v>
      </c>
      <c r="D46" s="9" t="str">
        <f>IF(LEN(ContactData!I45)&lt;3,"",ContactData!I45)</f>
        <v>(647) 286-0145</v>
      </c>
      <c r="E46" s="3" t="str">
        <f>ContactData!J45</f>
        <v xml:space="preserve">(905) 752-3514 </v>
      </c>
      <c r="F46" s="3" t="str">
        <f>IF(LEN(ContactData!K45)&lt;3,"",ContactData!K45)</f>
        <v>winniet@livingproperties.com</v>
      </c>
      <c r="G46"/>
      <c r="H46"/>
      <c r="I46"/>
    </row>
    <row r="47" spans="1:9" ht="14.4" x14ac:dyDescent="0.3">
      <c r="A47" s="9">
        <f>IF(LEN(ContactData!H46)&lt;3,"",ContactData!H46)</f>
        <v>286</v>
      </c>
      <c r="B47" s="3" t="str">
        <f>ContactData!E46</f>
        <v>Frederick Tang</v>
      </c>
      <c r="C47" s="3" t="str">
        <f>ContactData!G46</f>
        <v>Director of Business Development</v>
      </c>
      <c r="D47" s="9" t="str">
        <f>IF(LEN(ContactData!I46)&lt;3,"",ContactData!I46)</f>
        <v>(416) 618-5898</v>
      </c>
      <c r="E47" s="3" t="str">
        <f>ContactData!J46</f>
        <v>-</v>
      </c>
      <c r="F47" s="3" t="str">
        <f>IF(LEN(ContactData!K46)&lt;3,"",ContactData!K46)</f>
        <v>fredt@livingproperties.com</v>
      </c>
      <c r="G47"/>
      <c r="H47"/>
      <c r="I47"/>
    </row>
    <row r="48" spans="1:9" ht="14.4" x14ac:dyDescent="0.3">
      <c r="A48" s="9">
        <f>IF(LEN(ContactData!H47)&lt;3,"",ContactData!H47)</f>
        <v>512</v>
      </c>
      <c r="B48" s="3" t="str">
        <f>ContactData!E47</f>
        <v>Stanley Chow</v>
      </c>
      <c r="C48" s="3" t="str">
        <f>ContactData!G47</f>
        <v>Property Manager</v>
      </c>
      <c r="D48" s="9" t="str">
        <f>IF(LEN(ContactData!I47)&lt;3,"",ContactData!I47)</f>
        <v>(416) 277-6098</v>
      </c>
      <c r="E48" s="3" t="str">
        <f>ContactData!J47</f>
        <v>(905) 752-3512</v>
      </c>
      <c r="F48" s="3" t="str">
        <f>IF(LEN(ContactData!K47)&lt;3,"",ContactData!K47)</f>
        <v>stanleyc@livingproperties.com</v>
      </c>
      <c r="G48"/>
      <c r="H48"/>
      <c r="I48"/>
    </row>
    <row r="49" spans="1:9" ht="14.4" x14ac:dyDescent="0.3">
      <c r="A49" s="9">
        <f>IF(LEN(ContactData!H48)&lt;3,"",ContactData!H48)</f>
        <v>284</v>
      </c>
      <c r="B49" s="3" t="str">
        <f>ContactData!E48</f>
        <v>Richard Baksh</v>
      </c>
      <c r="C49" s="3" t="str">
        <f>ContactData!G48</f>
        <v>Property Manager</v>
      </c>
      <c r="D49" s="9" t="str">
        <f>IF(LEN(ContactData!I48)&lt;3,"",ContactData!I48)</f>
        <v>(647) 967-0088</v>
      </c>
      <c r="E49" s="3" t="str">
        <f>ContactData!J48</f>
        <v>(905) 258-0632</v>
      </c>
      <c r="F49" s="3" t="str">
        <f>IF(LEN(ContactData!K48)&lt;3,"",ContactData!K48)</f>
        <v>richardb@livingproperties.com</v>
      </c>
      <c r="G49"/>
      <c r="H49"/>
      <c r="I49"/>
    </row>
    <row r="50" spans="1:9" ht="14.4" x14ac:dyDescent="0.3">
      <c r="A50" s="9">
        <f>IF(LEN(ContactData!H49)&lt;3,"",ContactData!H49)</f>
        <v>517</v>
      </c>
      <c r="B50" s="3" t="str">
        <f>ContactData!E49</f>
        <v>Ken Kam</v>
      </c>
      <c r="C50" s="3" t="str">
        <f>ContactData!G49</f>
        <v>Property Manager</v>
      </c>
      <c r="D50" s="9" t="str">
        <f>IF(LEN(ContactData!I49)&lt;3,"",ContactData!I49)</f>
        <v>(647) 204-4455</v>
      </c>
      <c r="E50" s="3" t="str">
        <f>ContactData!J49</f>
        <v>(905) 477-2090</v>
      </c>
      <c r="F50" s="3" t="str">
        <f>IF(LEN(ContactData!K49)&lt;3,"",ContactData!K49)</f>
        <v>kenk@livingproperties.com</v>
      </c>
      <c r="G50"/>
      <c r="H50"/>
      <c r="I50"/>
    </row>
    <row r="51" spans="1:9" ht="14.4" x14ac:dyDescent="0.3">
      <c r="A51" s="9">
        <f>IF(LEN(ContactData!H50)&lt;3,"",ContactData!H50)</f>
        <v>520</v>
      </c>
      <c r="B51" s="3" t="str">
        <f>ContactData!E50</f>
        <v>Raymond Chin</v>
      </c>
      <c r="C51" s="3" t="str">
        <f>ContactData!G50</f>
        <v>Property Manager</v>
      </c>
      <c r="D51" s="9" t="str">
        <f>IF(LEN(ContactData!I50)&lt;3,"",ContactData!I50)</f>
        <v>(437) 331-6038</v>
      </c>
      <c r="E51" s="3" t="str">
        <f>ContactData!J50</f>
        <v>(905) 477-2090</v>
      </c>
      <c r="F51" s="3" t="str">
        <f>IF(LEN(ContactData!K50)&lt;3,"",ContactData!K50)</f>
        <v>raymondc@livingproperties.com</v>
      </c>
      <c r="G51"/>
      <c r="H51"/>
      <c r="I51"/>
    </row>
    <row r="52" spans="1:9" ht="14.4" x14ac:dyDescent="0.3">
      <c r="A52" s="9">
        <f>IF(LEN(ContactData!H51)&lt;3,"",ContactData!H51)</f>
        <v>168</v>
      </c>
      <c r="B52" s="3" t="str">
        <f>ContactData!E51</f>
        <v>Thomas Lee</v>
      </c>
      <c r="C52" s="3" t="str">
        <f>ContactData!G51</f>
        <v>Property Manager</v>
      </c>
      <c r="D52" s="9" t="str">
        <f>IF(LEN(ContactData!I51)&lt;3,"",ContactData!I51)</f>
        <v>(416) 567-4274</v>
      </c>
      <c r="E52" s="3" t="str">
        <f>ContactData!J51</f>
        <v>(905) 477-2090</v>
      </c>
      <c r="F52" s="3" t="str">
        <f>IF(LEN(ContactData!K51)&lt;3,"",ContactData!K51)</f>
        <v>Thomasl@livingproperties.com</v>
      </c>
      <c r="G52"/>
      <c r="H52"/>
      <c r="I52"/>
    </row>
    <row r="53" spans="1:9" ht="14.4" x14ac:dyDescent="0.3">
      <c r="A53" s="9">
        <f>IF(LEN(ContactData!H52)&lt;3,"",ContactData!H52)</f>
        <v>168</v>
      </c>
      <c r="B53" s="3" t="str">
        <f>ContactData!E52</f>
        <v>Stanley Wu</v>
      </c>
      <c r="C53" s="3" t="str">
        <f>ContactData!G52</f>
        <v>Property Manager</v>
      </c>
      <c r="D53" s="9" t="str">
        <f>IF(LEN(ContactData!I52)&lt;3,"",ContactData!I52)</f>
        <v>---</v>
      </c>
      <c r="E53" s="3" t="str">
        <f>ContactData!J52</f>
        <v>(905) 477-2090</v>
      </c>
      <c r="F53" s="3" t="str">
        <f>IF(LEN(ContactData!K52)&lt;3,"",ContactData!K52)</f>
        <v>stanleyw@livingproperties.com</v>
      </c>
      <c r="G53"/>
      <c r="H53"/>
      <c r="I53"/>
    </row>
    <row r="54" spans="1:9" ht="14.4" x14ac:dyDescent="0.3">
      <c r="A54" s="9">
        <f>IF(LEN(ContactData!H53)&lt;3,"",ContactData!H53)</f>
        <v>210</v>
      </c>
      <c r="B54" s="3" t="str">
        <f>ContactData!E53</f>
        <v>Loretta Leung</v>
      </c>
      <c r="C54" s="3" t="str">
        <f>ContactData!G53</f>
        <v>Executive Assistant</v>
      </c>
      <c r="D54" s="9" t="str">
        <f>IF(LEN(ContactData!I53)&lt;3,"",ContactData!I53)</f>
        <v>---</v>
      </c>
      <c r="E54" s="3" t="str">
        <f>ContactData!J53</f>
        <v>---</v>
      </c>
      <c r="F54" s="3" t="str">
        <f>IF(LEN(ContactData!K53)&lt;3,"",ContactData!K53)</f>
        <v>lorettal@livingproperties.com</v>
      </c>
      <c r="G54"/>
      <c r="H54"/>
      <c r="I54"/>
    </row>
    <row r="55" spans="1:9" ht="14.4" x14ac:dyDescent="0.3">
      <c r="A55" s="9">
        <f>IF(LEN(ContactData!H54)&lt;3,"",ContactData!H54)</f>
        <v>518</v>
      </c>
      <c r="B55" s="3" t="str">
        <f>ContactData!E54</f>
        <v>Simon Li</v>
      </c>
      <c r="C55" s="3" t="str">
        <f>ContactData!G54</f>
        <v>Senior Accountant</v>
      </c>
      <c r="D55" s="9" t="str">
        <f>IF(LEN(ContactData!I54)&lt;3,"",ContactData!I54)</f>
        <v>---</v>
      </c>
      <c r="E55" s="3" t="str">
        <f>ContactData!J54</f>
        <v>(905) 752-3518</v>
      </c>
      <c r="F55" s="3" t="str">
        <f>IF(LEN(ContactData!K54)&lt;3,"",ContactData!K54)</f>
        <v>simonl@livingproperties.com</v>
      </c>
      <c r="G55"/>
      <c r="H55"/>
      <c r="I55"/>
    </row>
    <row r="56" spans="1:9" ht="14.4" x14ac:dyDescent="0.3">
      <c r="A56" s="9">
        <f>IF(LEN(ContactData!H55)&lt;3,"",ContactData!H55)</f>
        <v>281</v>
      </c>
      <c r="B56" s="3" t="str">
        <f>ContactData!E55</f>
        <v>Nicole Leung</v>
      </c>
      <c r="C56" s="3" t="str">
        <f>ContactData!G55</f>
        <v>Property Accountant</v>
      </c>
      <c r="D56" s="9" t="str">
        <f>IF(LEN(ContactData!I55)&lt;3,"",ContactData!I55)</f>
        <v>---</v>
      </c>
      <c r="E56" s="3" t="str">
        <f>ContactData!J55</f>
        <v>---</v>
      </c>
      <c r="F56" s="3" t="str">
        <f>IF(LEN(ContactData!K55)&lt;3,"",ContactData!K55)</f>
        <v>nicolel@livingproperties.com</v>
      </c>
      <c r="G56"/>
      <c r="H56"/>
      <c r="I56"/>
    </row>
    <row r="57" spans="1:9" ht="14.4" x14ac:dyDescent="0.3">
      <c r="A57" s="9">
        <f>IF(LEN(ContactData!H56)&lt;3,"",ContactData!H56)</f>
        <v>523</v>
      </c>
      <c r="B57" s="3" t="str">
        <f>ContactData!E56</f>
        <v>Vivian Lum</v>
      </c>
      <c r="C57" s="3" t="str">
        <f>ContactData!G56</f>
        <v>Accounts Receivable Clerk</v>
      </c>
      <c r="D57" s="9" t="str">
        <f>IF(LEN(ContactData!I56)&lt;3,"",ContactData!I56)</f>
        <v>---</v>
      </c>
      <c r="E57" s="3" t="str">
        <f>ContactData!J56</f>
        <v>(905) 752-3523</v>
      </c>
      <c r="F57" s="3" t="str">
        <f>IF(LEN(ContactData!K56)&lt;3,"",ContactData!K56)</f>
        <v>vivianl@livingproperties.com</v>
      </c>
      <c r="G57"/>
      <c r="H57"/>
      <c r="I57"/>
    </row>
    <row r="58" spans="1:9" ht="14.4" x14ac:dyDescent="0.3">
      <c r="A58" s="9">
        <f>IF(LEN(ContactData!H57)&lt;3,"",ContactData!H57)</f>
        <v>223</v>
      </c>
      <c r="B58" s="3" t="str">
        <f>ContactData!E57</f>
        <v>Jessica Lee</v>
      </c>
      <c r="C58" s="3" t="str">
        <f>ContactData!G57</f>
        <v xml:space="preserve">Accounting Clerk </v>
      </c>
      <c r="D58" s="9" t="str">
        <f>IF(LEN(ContactData!I57)&lt;3,"",ContactData!I57)</f>
        <v>---</v>
      </c>
      <c r="E58" s="3" t="str">
        <f>ContactData!J57</f>
        <v>---</v>
      </c>
      <c r="F58" s="3" t="str">
        <f>IF(LEN(ContactData!K57)&lt;3,"",ContactData!K57)</f>
        <v>jessical@livingproperties.com</v>
      </c>
      <c r="G58"/>
      <c r="H58"/>
      <c r="I58"/>
    </row>
    <row r="59" spans="1:9" ht="14.4" x14ac:dyDescent="0.3">
      <c r="A59" s="9">
        <f>IF(LEN(ContactData!H58)&lt;3,"",ContactData!H58)</f>
        <v>172</v>
      </c>
      <c r="B59" s="3" t="str">
        <f>ContactData!E58</f>
        <v>Rebecca Lau</v>
      </c>
      <c r="C59" s="3" t="str">
        <f>ContactData!G58</f>
        <v>Administrative Assistant</v>
      </c>
      <c r="D59" s="9" t="str">
        <f>IF(LEN(ContactData!I58)&lt;3,"",ContactData!I58)</f>
        <v>---</v>
      </c>
      <c r="E59" s="3" t="str">
        <f>ContactData!J58</f>
        <v>---</v>
      </c>
      <c r="F59" s="3" t="str">
        <f>IF(LEN(ContactData!K58)&lt;3,"",ContactData!K58)</f>
        <v>rebeccal@livingproperties.com</v>
      </c>
      <c r="G59"/>
      <c r="H59"/>
      <c r="I59"/>
    </row>
    <row r="60" spans="1:9" ht="14.4" x14ac:dyDescent="0.3">
      <c r="A60" s="9">
        <f>IF(LEN(ContactData!H59)&lt;3,"",ContactData!H59)</f>
        <v>182</v>
      </c>
      <c r="B60" s="3" t="str">
        <f>ContactData!E59</f>
        <v>Kelvin Chan</v>
      </c>
      <c r="C60" s="3" t="str">
        <f>ContactData!G59</f>
        <v>Administrative Assistant</v>
      </c>
      <c r="D60" s="9" t="str">
        <f>IF(LEN(ContactData!I59)&lt;3,"",ContactData!I59)</f>
        <v>---</v>
      </c>
      <c r="E60" s="3" t="str">
        <f>ContactData!J59</f>
        <v>---</v>
      </c>
      <c r="F60" s="3" t="str">
        <f>IF(LEN(ContactData!K59)&lt;3,"",ContactData!K59)</f>
        <v>kelvinc@livingproperties.com</v>
      </c>
      <c r="G60"/>
      <c r="H60"/>
      <c r="I60"/>
    </row>
    <row r="61" spans="1:9" ht="14.4" x14ac:dyDescent="0.3">
      <c r="A61" s="9" t="str">
        <f>IF(LEN(ContactData!H60)&lt;3,"",ContactData!H60)</f>
        <v>---</v>
      </c>
      <c r="B61" s="3" t="str">
        <f>ContactData!E60</f>
        <v>Gus B</v>
      </c>
      <c r="C61" s="3" t="str">
        <f>ContactData!G60</f>
        <v>Handyman</v>
      </c>
      <c r="D61" s="9" t="str">
        <f>IF(LEN(ContactData!I60)&lt;3,"",ContactData!I60)</f>
        <v>---</v>
      </c>
      <c r="E61" s="3" t="str">
        <f>ContactData!J60</f>
        <v>(905) 477-2090</v>
      </c>
      <c r="F61" s="3" t="str">
        <f>IF(LEN(ContactData!K60)&lt;3,"",ContactData!K60)</f>
        <v>gusb@livcontrustion.ca</v>
      </c>
      <c r="G61"/>
      <c r="H61"/>
      <c r="I61"/>
    </row>
    <row r="62" spans="1:9" ht="14.4" x14ac:dyDescent="0.3">
      <c r="A62" s="9">
        <f>IF(LEN(ContactData!H61)&lt;3,"",ContactData!H61)</f>
        <v>229</v>
      </c>
      <c r="B62" s="3" t="str">
        <f>ContactData!E61</f>
        <v>Matthew Wong</v>
      </c>
      <c r="C62" s="3" t="str">
        <f>ContactData!G61</f>
        <v>Accounting Clerk</v>
      </c>
      <c r="D62" s="9" t="str">
        <f>IF(LEN(ContactData!I61)&lt;3,"",ContactData!I61)</f>
        <v>---</v>
      </c>
      <c r="E62" s="3" t="str">
        <f>ContactData!J61</f>
        <v>---</v>
      </c>
      <c r="F62" s="3" t="str">
        <f>IF(LEN(ContactData!K61)&lt;3,"",ContactData!K61)</f>
        <v>mattheww@livingproperties.com</v>
      </c>
      <c r="G62"/>
      <c r="H62"/>
      <c r="I62"/>
    </row>
    <row r="63" spans="1:9" ht="14.4" x14ac:dyDescent="0.3">
      <c r="A63" s="9" t="str">
        <f>IF(LEN(ContactData!H62)&lt;3,"",ContactData!H62)</f>
        <v/>
      </c>
      <c r="B63" s="3" t="str">
        <f>ContactData!E62</f>
        <v>Centro Towers Office</v>
      </c>
      <c r="C63" s="3" t="str">
        <f>ContactData!G62</f>
        <v>25 Town Centre Crt, Scarborough, ON, M1P 0B4</v>
      </c>
      <c r="D63" s="9" t="str">
        <f>IF(LEN(ContactData!I62)&lt;3,"",ContactData!I62)</f>
        <v/>
      </c>
      <c r="E63" s="3" t="str">
        <f>ContactData!J62</f>
        <v>T: (416) 290-1242</v>
      </c>
      <c r="F63" s="3" t="str">
        <f>IF(LEN(ContactData!K62)&lt;3,"",ContactData!K62)</f>
        <v/>
      </c>
      <c r="G63"/>
      <c r="H63"/>
      <c r="I63"/>
    </row>
    <row r="64" spans="1:9" ht="14.4" x14ac:dyDescent="0.3">
      <c r="A64" s="9" t="str">
        <f>IF(LEN(ContactData!H63)&lt;3,"",ContactData!H63)</f>
        <v>---</v>
      </c>
      <c r="B64" s="3" t="str">
        <f>ContactData!E63</f>
        <v>Henry Fu</v>
      </c>
      <c r="C64" s="3" t="str">
        <f>ContactData!G63</f>
        <v>Property Manager</v>
      </c>
      <c r="D64" s="9" t="str">
        <f>IF(LEN(ContactData!I63)&lt;3,"",ContactData!I63)</f>
        <v>(416) 278-2953</v>
      </c>
      <c r="E64" s="3" t="str">
        <f>ContactData!J63</f>
        <v>(416) 290-1242</v>
      </c>
      <c r="F64" s="3" t="str">
        <f>IF(LEN(ContactData!K63)&lt;3,"",ContactData!K63)</f>
        <v>henry@centrotowers.com</v>
      </c>
      <c r="G64"/>
      <c r="H64"/>
      <c r="I64"/>
    </row>
    <row r="65" spans="1:9" ht="14.4" x14ac:dyDescent="0.3">
      <c r="A65" s="9" t="str">
        <f>IF(LEN(ContactData!H64)&lt;3,"",ContactData!H64)</f>
        <v>---</v>
      </c>
      <c r="B65" s="3" t="str">
        <f>ContactData!E64</f>
        <v>Sophia Yip</v>
      </c>
      <c r="C65" s="3" t="str">
        <f>ContactData!G64</f>
        <v>Property Administrator</v>
      </c>
      <c r="D65" s="9" t="str">
        <f>IF(LEN(ContactData!I64)&lt;3,"",ContactData!I64)</f>
        <v>---</v>
      </c>
      <c r="E65" s="3" t="str">
        <f>ContactData!J64</f>
        <v>(416) 290-1242</v>
      </c>
      <c r="F65" s="3" t="str">
        <f>IF(LEN(ContactData!K64)&lt;3,"",ContactData!K64)</f>
        <v>sophia@centrotowers.com</v>
      </c>
      <c r="G65"/>
      <c r="H65"/>
      <c r="I65"/>
    </row>
    <row r="66" spans="1:9" ht="14.4" x14ac:dyDescent="0.3">
      <c r="A66" s="9" t="str">
        <f>IF(LEN(ContactData!H65)&lt;3,"",ContactData!H65)</f>
        <v>---</v>
      </c>
      <c r="B66" s="3" t="str">
        <f>ContactData!E65</f>
        <v xml:space="preserve">Security Desk </v>
      </c>
      <c r="C66" s="3" t="str">
        <f>ContactData!G65</f>
        <v xml:space="preserve">Centro Security Desk </v>
      </c>
      <c r="D66" s="9" t="str">
        <f>IF(LEN(ContactData!I65)&lt;3,"",ContactData!I65)</f>
        <v>---</v>
      </c>
      <c r="E66" s="3" t="str">
        <f>ContactData!J65</f>
        <v>(416) 296-0099</v>
      </c>
      <c r="F66" s="3" t="str">
        <f>IF(LEN(ContactData!K65)&lt;3,"",ContactData!K65)</f>
        <v>---</v>
      </c>
      <c r="G66"/>
      <c r="H66"/>
      <c r="I66"/>
    </row>
    <row r="67" spans="1:9" ht="14.4" x14ac:dyDescent="0.3">
      <c r="A67" s="9" t="str">
        <f>IF(LEN(ContactData!H66)&lt;3,"",ContactData!H66)</f>
        <v/>
      </c>
      <c r="B67" s="3" t="str">
        <f>ContactData!E66</f>
        <v>EQ1 Office</v>
      </c>
      <c r="C67" s="3" t="str">
        <f>ContactData!G66</f>
        <v>70 Town Centre Court, Scarborough, ON, M1P 0B2</v>
      </c>
      <c r="D67" s="9" t="str">
        <f>IF(LEN(ContactData!I66)&lt;3,"",ContactData!I66)</f>
        <v/>
      </c>
      <c r="E67" s="3" t="str">
        <f>ContactData!J66</f>
        <v xml:space="preserve">T: (416) 279-0603 </v>
      </c>
      <c r="F67" s="3" t="str">
        <f>IF(LEN(ContactData!K66)&lt;3,"",ContactData!K66)</f>
        <v>eq1@livingproperties.com</v>
      </c>
      <c r="G67"/>
      <c r="H67"/>
      <c r="I67"/>
    </row>
    <row r="68" spans="1:9" ht="14.4" x14ac:dyDescent="0.3">
      <c r="A68" s="9" t="str">
        <f>IF(LEN(ContactData!H67)&lt;3,"",ContactData!H67)</f>
        <v>---</v>
      </c>
      <c r="B68" s="3" t="str">
        <f>ContactData!E67</f>
        <v>Ming Ip</v>
      </c>
      <c r="C68" s="3" t="str">
        <f>ContactData!G67</f>
        <v>Property Manager</v>
      </c>
      <c r="D68" s="9" t="str">
        <f>IF(LEN(ContactData!I67)&lt;3,"",ContactData!I67)</f>
        <v>(647) 286-0147</v>
      </c>
      <c r="E68" s="3" t="str">
        <f>ContactData!J67</f>
        <v xml:space="preserve">(416) 279-0603 </v>
      </c>
      <c r="F68" s="3" t="str">
        <f>IF(LEN(ContactData!K67)&lt;3,"",ContactData!K67)</f>
        <v>eq1manager@livingproperties.com</v>
      </c>
      <c r="G68"/>
      <c r="H68"/>
      <c r="I68"/>
    </row>
    <row r="69" spans="1:9" ht="14.4" x14ac:dyDescent="0.3">
      <c r="A69" s="9" t="str">
        <f>IF(LEN(ContactData!H68)&lt;3,"",ContactData!H68)</f>
        <v>---</v>
      </c>
      <c r="B69" s="3" t="str">
        <f>ContactData!E68</f>
        <v xml:space="preserve">Security Desk </v>
      </c>
      <c r="C69" s="3" t="str">
        <f>ContactData!G68</f>
        <v xml:space="preserve">EQ1 Security Desk </v>
      </c>
      <c r="D69" s="9" t="str">
        <f>IF(LEN(ContactData!I68)&lt;3,"",ContactData!I68)</f>
        <v>---</v>
      </c>
      <c r="E69" s="3" t="str">
        <f>ContactData!J68</f>
        <v>(416) 279-1894</v>
      </c>
      <c r="F69" s="3" t="str">
        <f>IF(LEN(ContactData!K68)&lt;3,"",ContactData!K68)</f>
        <v>---</v>
      </c>
      <c r="G69"/>
      <c r="H69"/>
      <c r="I69"/>
    </row>
    <row r="70" spans="1:9" ht="14.4" x14ac:dyDescent="0.3">
      <c r="A70" s="9" t="str">
        <f>IF(LEN(ContactData!H69)&lt;3,"",ContactData!H69)</f>
        <v/>
      </c>
      <c r="B70" s="3" t="str">
        <f>ContactData!E69</f>
        <v>EQ2 Office</v>
      </c>
      <c r="C70" s="3" t="str">
        <f>ContactData!G69</f>
        <v>60 Town Centre Court, Scarborough, ON, M1P 0B1</v>
      </c>
      <c r="D70" s="9" t="str">
        <f>IF(LEN(ContactData!I69)&lt;3,"",ContactData!I69)</f>
        <v/>
      </c>
      <c r="E70" s="3" t="str">
        <f>ContactData!J69</f>
        <v xml:space="preserve">T: (416) 279-0591 </v>
      </c>
      <c r="F70" s="3" t="str">
        <f>IF(LEN(ContactData!K69)&lt;3,"",ContactData!K69)</f>
        <v/>
      </c>
      <c r="G70"/>
      <c r="H70"/>
      <c r="I70"/>
    </row>
    <row r="71" spans="1:9" ht="14.4" x14ac:dyDescent="0.3">
      <c r="A71" s="9" t="str">
        <f>IF(LEN(ContactData!H70)&lt;3,"",ContactData!H70)</f>
        <v>---</v>
      </c>
      <c r="B71" s="3" t="str">
        <f>ContactData!E70</f>
        <v>Aaron Ma</v>
      </c>
      <c r="C71" s="3" t="str">
        <f>ContactData!G70</f>
        <v>Property Manager</v>
      </c>
      <c r="D71" s="9" t="str">
        <f>IF(LEN(ContactData!I70)&lt;3,"",ContactData!I70)</f>
        <v>(416) 684-2236</v>
      </c>
      <c r="E71" s="3" t="str">
        <f>ContactData!J70</f>
        <v>(416) 279-0591</v>
      </c>
      <c r="F71" s="3" t="str">
        <f>IF(LEN(ContactData!K70)&lt;3,"",ContactData!K70)</f>
        <v>eq2manager@livingproperties.com</v>
      </c>
      <c r="G71"/>
      <c r="H71"/>
      <c r="I71"/>
    </row>
    <row r="72" spans="1:9" ht="14.4" x14ac:dyDescent="0.3">
      <c r="A72" s="9" t="str">
        <f>IF(LEN(ContactData!H71)&lt;3,"",ContactData!H71)</f>
        <v>---</v>
      </c>
      <c r="B72" s="3" t="str">
        <f>ContactData!E71</f>
        <v xml:space="preserve">Security Desk </v>
      </c>
      <c r="C72" s="3" t="str">
        <f>ContactData!G71</f>
        <v xml:space="preserve">EQ2 Security Desk </v>
      </c>
      <c r="D72" s="9" t="str">
        <f>IF(LEN(ContactData!I71)&lt;3,"",ContactData!I71)</f>
        <v>---</v>
      </c>
      <c r="E72" s="3" t="str">
        <f>ContactData!J71</f>
        <v>(416) 279-1211</v>
      </c>
      <c r="F72" s="3" t="str">
        <f>IF(LEN(ContactData!K71)&lt;3,"",ContactData!K71)</f>
        <v>---</v>
      </c>
      <c r="G72"/>
      <c r="H72"/>
      <c r="I72"/>
    </row>
    <row r="73" spans="1:9" ht="14.4" x14ac:dyDescent="0.3">
      <c r="A73" s="9" t="str">
        <f>IF(LEN(ContactData!H72)&lt;3,"",ContactData!H72)</f>
        <v/>
      </c>
      <c r="B73" s="3" t="str">
        <f>ContactData!E72</f>
        <v>Alton Tower Office</v>
      </c>
      <c r="C73" s="3" t="str">
        <f>ContactData!G72</f>
        <v>160 Alton Towers Cir, Toronto, ON, M1V 4X8</v>
      </c>
      <c r="D73" s="9" t="str">
        <f>IF(LEN(ContactData!I72)&lt;3,"",ContactData!I72)</f>
        <v/>
      </c>
      <c r="E73" s="3" t="str">
        <f>ContactData!J72</f>
        <v>T: (437)-533-1208</v>
      </c>
      <c r="F73" s="3" t="str">
        <f>IF(LEN(ContactData!K72)&lt;3,"",ContactData!K72)</f>
        <v/>
      </c>
      <c r="G73"/>
      <c r="H73"/>
      <c r="I73"/>
    </row>
    <row r="74" spans="1:9" ht="14.4" x14ac:dyDescent="0.3">
      <c r="A74" s="9" t="str">
        <f>IF(LEN(ContactData!H73)&lt;3,"",ContactData!H73)</f>
        <v>---</v>
      </c>
      <c r="B74" s="3" t="str">
        <f>ContactData!E73</f>
        <v>Ken Kam</v>
      </c>
      <c r="C74" s="3" t="str">
        <f>ContactData!G73</f>
        <v>Property Manager</v>
      </c>
      <c r="D74" s="9" t="str">
        <f>IF(LEN(ContactData!I73)&lt;3,"",ContactData!I73)</f>
        <v>(647) 204-4455</v>
      </c>
      <c r="E74" s="3" t="str">
        <f>ContactData!J73</f>
        <v>(905) 477-2090</v>
      </c>
      <c r="F74" s="3" t="str">
        <f>IF(LEN(ContactData!K73)&lt;3,"",ContactData!K73)</f>
        <v>kenk@livingproperties.com</v>
      </c>
      <c r="G74"/>
      <c r="H74"/>
      <c r="I74"/>
    </row>
    <row r="75" spans="1:9" ht="14.4" x14ac:dyDescent="0.3">
      <c r="A75" s="9" t="str">
        <f>IF(LEN(ContactData!H74)&lt;3,"",ContactData!H74)</f>
        <v>---</v>
      </c>
      <c r="B75" s="3" t="str">
        <f>ContactData!E74</f>
        <v>Christie Ip</v>
      </c>
      <c r="C75" s="3" t="str">
        <f>ContactData!G74</f>
        <v>Administrative Assistant</v>
      </c>
      <c r="D75" s="9" t="str">
        <f>IF(LEN(ContactData!I74)&lt;3,"",ContactData!I74)</f>
        <v>(437)-533-1208</v>
      </c>
      <c r="E75" s="3" t="str">
        <f>ContactData!J74</f>
        <v>---</v>
      </c>
      <c r="F75" s="3" t="str">
        <f>IF(LEN(ContactData!K74)&lt;3,"",ContactData!K74)</f>
        <v xml:space="preserve">optima2@livingproperties.com </v>
      </c>
      <c r="G75"/>
      <c r="H75"/>
      <c r="I75"/>
    </row>
    <row r="76" spans="1:9" ht="14.4" x14ac:dyDescent="0.3">
      <c r="A76" s="9" t="str">
        <f>IF(LEN(ContactData!H75)&lt;3,"",ContactData!H75)</f>
        <v>---</v>
      </c>
      <c r="B76" s="3" t="str">
        <f>ContactData!E75</f>
        <v xml:space="preserve">Security Desk </v>
      </c>
      <c r="C76" s="3" t="str">
        <f>ContactData!G75</f>
        <v xml:space="preserve">Alton Tower Security Desk </v>
      </c>
      <c r="D76" s="9" t="str">
        <f>IF(LEN(ContactData!I75)&lt;3,"",ContactData!I75)</f>
        <v>---</v>
      </c>
      <c r="E76" s="3" t="str">
        <f>ContactData!J75</f>
        <v>(416) 754-3131</v>
      </c>
      <c r="F76" s="3" t="str">
        <f>IF(LEN(ContactData!K75)&lt;3,"",ContactData!K75)</f>
        <v>---</v>
      </c>
      <c r="G76"/>
      <c r="H76"/>
      <c r="I76"/>
    </row>
    <row r="77" spans="1:9" ht="14.4" x14ac:dyDescent="0.3">
      <c r="A77" s="9" t="str">
        <f>IF(LEN(ContactData!H76)&lt;3,"",ContactData!H76)</f>
        <v/>
      </c>
      <c r="B77" s="3" t="str">
        <f>ContactData!E76</f>
        <v>IHMG Office</v>
      </c>
      <c r="C77" s="3" t="str">
        <f>ContactData!G76</f>
        <v>8 Steelcase Road West, Markham, ON, L3R 1B2</v>
      </c>
      <c r="D77" s="9" t="str">
        <f>IF(LEN(ContactData!I76)&lt;3,"",ContactData!I76)</f>
        <v/>
      </c>
      <c r="E77" s="3" t="str">
        <f>ContactData!J76</f>
        <v>T: (905) 475-6000</v>
      </c>
      <c r="F77" s="3" t="str">
        <f>IF(LEN(ContactData!K76)&lt;3,"",ContactData!K76)</f>
        <v>info@ihmg.ca</v>
      </c>
      <c r="G77"/>
      <c r="H77"/>
      <c r="I77"/>
    </row>
    <row r="78" spans="1:9" ht="14.4" x14ac:dyDescent="0.3">
      <c r="A78" s="9" t="str">
        <f>IF(LEN(ContactData!H77)&lt;3,"",ContactData!H77)</f>
        <v/>
      </c>
      <c r="B78" s="3" t="str">
        <f>ContactData!E77</f>
        <v>IHMGRI Office</v>
      </c>
      <c r="C78" s="3" t="str">
        <f>ContactData!G77</f>
        <v>8 Steelcase Road West, Unit E, Markham, ON, L3R 1B2</v>
      </c>
      <c r="D78" s="9" t="str">
        <f>IF(LEN(ContactData!I77)&lt;3,"",ContactData!I77)</f>
        <v/>
      </c>
      <c r="E78" s="3" t="str">
        <f>ContactData!J77</f>
        <v>T: (905) 489-8989</v>
      </c>
      <c r="F78" s="3" t="str">
        <f>IF(LEN(ContactData!K77)&lt;3,"",ContactData!K77)</f>
        <v>realestate@ihmg.ca</v>
      </c>
      <c r="G78"/>
      <c r="H78"/>
      <c r="I78"/>
    </row>
    <row r="79" spans="1:9" ht="14.4" x14ac:dyDescent="0.3">
      <c r="A79" s="9">
        <f>IF(LEN(ContactData!H78)&lt;3,"",ContactData!H78)</f>
        <v>120</v>
      </c>
      <c r="B79" s="3" t="str">
        <f>ContactData!E78</f>
        <v>Eddie Tang</v>
      </c>
      <c r="C79" s="3" t="str">
        <f>ContactData!G78</f>
        <v>Financial Controller</v>
      </c>
      <c r="D79" s="9" t="str">
        <f>IF(LEN(ContactData!I78)&lt;3,"",ContactData!I78)</f>
        <v>(416) 723-8329</v>
      </c>
      <c r="E79" s="3" t="str">
        <f>ContactData!J78</f>
        <v>(905) 489-0186</v>
      </c>
      <c r="F79" s="3" t="str">
        <f>IF(LEN(ContactData!K78)&lt;3,"",ContactData!K78)</f>
        <v>eddie@ihmg.ca</v>
      </c>
      <c r="G79"/>
      <c r="H79"/>
      <c r="I79"/>
    </row>
    <row r="80" spans="1:9" ht="14.4" x14ac:dyDescent="0.3">
      <c r="A80" s="9">
        <f>IF(LEN(ContactData!H79)&lt;3,"",ContactData!H79)</f>
        <v>187</v>
      </c>
      <c r="B80" s="3" t="str">
        <f>ContactData!E79</f>
        <v>Lily Hou</v>
      </c>
      <c r="C80" s="3" t="str">
        <f>ContactData!G79</f>
        <v>Senior Accounting Analyst &amp; Operations Support</v>
      </c>
      <c r="D80" s="9" t="str">
        <f>IF(LEN(ContactData!I79)&lt;3,"",ContactData!I79)</f>
        <v>(647) 774-8994</v>
      </c>
      <c r="E80" s="3" t="str">
        <f>ContactData!J79</f>
        <v>---</v>
      </c>
      <c r="F80" s="3" t="str">
        <f>IF(LEN(ContactData!K79)&lt;3,"",ContactData!K79)</f>
        <v>lily@ihmg.ca</v>
      </c>
      <c r="G80"/>
      <c r="H80"/>
      <c r="I80"/>
    </row>
    <row r="81" spans="1:9" ht="14.4" x14ac:dyDescent="0.3">
      <c r="A81" s="1"/>
      <c r="B81"/>
      <c r="C81"/>
      <c r="D81"/>
      <c r="E81"/>
      <c r="F81"/>
      <c r="G81"/>
      <c r="H81"/>
      <c r="I81"/>
    </row>
    <row r="82" spans="1:9" ht="14.4" x14ac:dyDescent="0.3">
      <c r="A82" s="1"/>
      <c r="B82"/>
      <c r="C82"/>
      <c r="D82"/>
      <c r="E82"/>
      <c r="F82"/>
      <c r="G82"/>
      <c r="H82"/>
      <c r="I82"/>
    </row>
    <row r="83" spans="1:9" ht="14.4" x14ac:dyDescent="0.3">
      <c r="A83" s="1"/>
      <c r="B83"/>
      <c r="C83"/>
      <c r="D83"/>
      <c r="E83"/>
      <c r="F83"/>
      <c r="G83"/>
      <c r="H83"/>
      <c r="I83"/>
    </row>
    <row r="84" spans="1:9" ht="14.4" x14ac:dyDescent="0.3">
      <c r="A84" s="1"/>
      <c r="B84"/>
      <c r="C84"/>
      <c r="D84"/>
      <c r="E84"/>
      <c r="F84"/>
      <c r="G84"/>
      <c r="H84"/>
      <c r="I84"/>
    </row>
    <row r="85" spans="1:9" ht="14.4" x14ac:dyDescent="0.3">
      <c r="A85" s="1"/>
      <c r="B85"/>
      <c r="C85"/>
      <c r="D85"/>
      <c r="E85"/>
      <c r="F85"/>
      <c r="G85"/>
      <c r="H85"/>
      <c r="I85"/>
    </row>
    <row r="86" spans="1:9" ht="14.4" x14ac:dyDescent="0.3">
      <c r="A86" s="1"/>
      <c r="B86"/>
      <c r="C86"/>
      <c r="D86"/>
      <c r="E86"/>
      <c r="F86"/>
      <c r="G86"/>
      <c r="H86"/>
      <c r="I86"/>
    </row>
    <row r="87" spans="1:9" ht="14.4" x14ac:dyDescent="0.3">
      <c r="A87" s="1"/>
      <c r="B87"/>
      <c r="C87"/>
      <c r="D87"/>
      <c r="E87"/>
      <c r="F87"/>
      <c r="G87"/>
      <c r="H87"/>
      <c r="I87"/>
    </row>
    <row r="88" spans="1:9" ht="14.4" x14ac:dyDescent="0.3">
      <c r="A88" s="1"/>
      <c r="B88"/>
      <c r="C88"/>
      <c r="D88"/>
      <c r="E88"/>
      <c r="F88"/>
      <c r="G88"/>
      <c r="H88"/>
      <c r="I88"/>
    </row>
    <row r="89" spans="1:9" ht="14.4" x14ac:dyDescent="0.3">
      <c r="A89" s="1"/>
      <c r="B89"/>
      <c r="C89"/>
      <c r="D89"/>
      <c r="E89"/>
      <c r="F89"/>
      <c r="G89"/>
      <c r="H89"/>
      <c r="I89"/>
    </row>
    <row r="90" spans="1:9" ht="14.4" x14ac:dyDescent="0.3">
      <c r="A90" s="1"/>
      <c r="B90"/>
      <c r="C90"/>
      <c r="D90"/>
      <c r="E90"/>
      <c r="F90"/>
      <c r="G90"/>
      <c r="H90"/>
      <c r="I90"/>
    </row>
    <row r="91" spans="1:9" ht="14.4" x14ac:dyDescent="0.3">
      <c r="A91" s="1"/>
      <c r="B91"/>
      <c r="C91"/>
      <c r="D91"/>
      <c r="E91"/>
      <c r="F91"/>
      <c r="G91"/>
      <c r="H91"/>
      <c r="I91"/>
    </row>
    <row r="92" spans="1:9" ht="14.4" x14ac:dyDescent="0.3">
      <c r="A92" s="1"/>
      <c r="B92"/>
      <c r="C92"/>
      <c r="D92"/>
      <c r="E92"/>
      <c r="F92"/>
      <c r="G92"/>
      <c r="H92"/>
      <c r="I92"/>
    </row>
    <row r="93" spans="1:9" ht="14.4" x14ac:dyDescent="0.3">
      <c r="A93" s="1"/>
      <c r="B93"/>
      <c r="C93"/>
      <c r="D93"/>
      <c r="E93"/>
      <c r="F93"/>
      <c r="G93"/>
      <c r="H93"/>
      <c r="I93"/>
    </row>
    <row r="94" spans="1:9" ht="14.4" x14ac:dyDescent="0.3">
      <c r="A94" s="1"/>
      <c r="B94"/>
      <c r="C94"/>
      <c r="D94"/>
      <c r="E94"/>
      <c r="F94"/>
      <c r="G94"/>
      <c r="H94"/>
      <c r="I94"/>
    </row>
    <row r="95" spans="1:9" ht="14.4" x14ac:dyDescent="0.3">
      <c r="A95" s="1"/>
      <c r="B95"/>
      <c r="C95"/>
      <c r="D95"/>
      <c r="E95"/>
      <c r="F95"/>
      <c r="G95"/>
      <c r="H95"/>
      <c r="I95"/>
    </row>
    <row r="96" spans="1:9" ht="14.4" x14ac:dyDescent="0.3">
      <c r="A96" s="1"/>
      <c r="B96"/>
      <c r="C96"/>
      <c r="D96"/>
      <c r="E96"/>
      <c r="F96"/>
      <c r="G96"/>
      <c r="H96"/>
      <c r="I96"/>
    </row>
    <row r="97" spans="1:9" ht="14.4" x14ac:dyDescent="0.3">
      <c r="A97" s="1"/>
      <c r="B97"/>
      <c r="C97"/>
      <c r="D97"/>
      <c r="E97"/>
      <c r="F97"/>
      <c r="G97"/>
      <c r="H97"/>
      <c r="I97"/>
    </row>
    <row r="98" spans="1:9" ht="14.4" x14ac:dyDescent="0.3">
      <c r="A98" s="1"/>
      <c r="B98"/>
      <c r="C98"/>
      <c r="D98"/>
      <c r="E98"/>
      <c r="F98"/>
      <c r="G98"/>
      <c r="H98"/>
      <c r="I98"/>
    </row>
    <row r="99" spans="1:9" ht="14.4" x14ac:dyDescent="0.3">
      <c r="A99" s="1"/>
      <c r="B99"/>
      <c r="C99"/>
      <c r="D99"/>
      <c r="E99"/>
      <c r="F99"/>
      <c r="G99"/>
      <c r="H99"/>
      <c r="I99"/>
    </row>
    <row r="100" spans="1:9" ht="14.4" x14ac:dyDescent="0.3">
      <c r="A100" s="1"/>
      <c r="B100"/>
      <c r="C100"/>
      <c r="D100"/>
      <c r="E100"/>
      <c r="F100"/>
      <c r="G100"/>
      <c r="H100"/>
      <c r="I100"/>
    </row>
    <row r="101" spans="1:9" ht="14.4" x14ac:dyDescent="0.3">
      <c r="A101" s="1"/>
      <c r="B101"/>
      <c r="C101"/>
      <c r="D101"/>
      <c r="E101"/>
      <c r="F101"/>
      <c r="G101"/>
      <c r="H101"/>
      <c r="I101"/>
    </row>
    <row r="102" spans="1:9" ht="14.4" x14ac:dyDescent="0.3">
      <c r="A102" s="1"/>
      <c r="B102"/>
      <c r="C102"/>
      <c r="D102"/>
      <c r="E102"/>
      <c r="F102"/>
      <c r="G102"/>
      <c r="H102"/>
      <c r="I102"/>
    </row>
    <row r="103" spans="1:9" ht="14.4" x14ac:dyDescent="0.3">
      <c r="A103" s="1"/>
      <c r="B103"/>
      <c r="C103"/>
      <c r="D103"/>
      <c r="E103"/>
      <c r="F103"/>
      <c r="G103"/>
      <c r="H103"/>
      <c r="I103"/>
    </row>
    <row r="104" spans="1:9" ht="14.4" x14ac:dyDescent="0.3">
      <c r="A104" s="1"/>
      <c r="B104"/>
      <c r="C104"/>
      <c r="D104"/>
      <c r="E104"/>
      <c r="F104"/>
      <c r="G104"/>
      <c r="H104"/>
      <c r="I104"/>
    </row>
    <row r="105" spans="1:9" ht="14.4" x14ac:dyDescent="0.3">
      <c r="A105" s="1"/>
      <c r="B105"/>
      <c r="C105"/>
      <c r="D105"/>
      <c r="E105"/>
      <c r="F105"/>
      <c r="G105"/>
      <c r="H105"/>
      <c r="I105"/>
    </row>
    <row r="106" spans="1:9" ht="14.4" x14ac:dyDescent="0.3">
      <c r="A106" s="1"/>
      <c r="B106"/>
      <c r="C106"/>
      <c r="D106"/>
      <c r="E106"/>
      <c r="F106"/>
      <c r="G106"/>
      <c r="H106"/>
      <c r="I106"/>
    </row>
    <row r="107" spans="1:9" ht="14.4" x14ac:dyDescent="0.3">
      <c r="A107" s="1"/>
      <c r="B107"/>
      <c r="C107"/>
      <c r="D107"/>
      <c r="E107"/>
      <c r="F107"/>
      <c r="G107"/>
      <c r="H107"/>
      <c r="I107"/>
    </row>
    <row r="108" spans="1:9" ht="14.4" x14ac:dyDescent="0.3">
      <c r="A108" s="1"/>
      <c r="B108"/>
      <c r="C108"/>
      <c r="D108"/>
      <c r="E108"/>
      <c r="F108"/>
      <c r="G108"/>
      <c r="H108"/>
      <c r="I108"/>
    </row>
    <row r="109" spans="1:9" ht="14.4" x14ac:dyDescent="0.3">
      <c r="A109" s="1"/>
      <c r="B109"/>
      <c r="C109"/>
      <c r="D109"/>
      <c r="E109"/>
      <c r="F109"/>
      <c r="G109"/>
      <c r="H109"/>
      <c r="I109"/>
    </row>
    <row r="110" spans="1:9" ht="14.4" x14ac:dyDescent="0.3">
      <c r="A110" s="1"/>
      <c r="B110"/>
      <c r="C110"/>
      <c r="D110"/>
      <c r="E110"/>
      <c r="F110"/>
      <c r="G110"/>
      <c r="H110"/>
      <c r="I110"/>
    </row>
    <row r="111" spans="1:9" ht="14.4" x14ac:dyDescent="0.3">
      <c r="A111" s="1"/>
      <c r="B111"/>
      <c r="C111"/>
      <c r="D111"/>
      <c r="E111"/>
      <c r="F111"/>
      <c r="G111"/>
      <c r="H111"/>
      <c r="I111"/>
    </row>
    <row r="112" spans="1:9" ht="14.4" x14ac:dyDescent="0.3">
      <c r="A112" s="1"/>
      <c r="B112"/>
      <c r="C112"/>
      <c r="D112"/>
      <c r="E112"/>
      <c r="F112"/>
      <c r="G112"/>
      <c r="H112"/>
      <c r="I112"/>
    </row>
    <row r="113" spans="1:9" ht="14.4" x14ac:dyDescent="0.3">
      <c r="A113" s="1"/>
      <c r="B113"/>
      <c r="C113"/>
      <c r="D113"/>
      <c r="E113"/>
      <c r="F113"/>
      <c r="G113"/>
      <c r="H113"/>
      <c r="I113"/>
    </row>
    <row r="114" spans="1:9" ht="14.4" x14ac:dyDescent="0.3">
      <c r="A114" s="1"/>
      <c r="B114"/>
      <c r="C114"/>
      <c r="D114"/>
      <c r="E114"/>
      <c r="F114"/>
      <c r="G114"/>
      <c r="H114"/>
      <c r="I114"/>
    </row>
    <row r="115" spans="1:9" ht="14.4" x14ac:dyDescent="0.3">
      <c r="A115" s="1"/>
      <c r="B115"/>
      <c r="C115"/>
      <c r="D115"/>
      <c r="E115"/>
      <c r="F115"/>
      <c r="G115"/>
      <c r="H115"/>
      <c r="I115"/>
    </row>
    <row r="116" spans="1:9" ht="14.4" x14ac:dyDescent="0.3">
      <c r="A116" s="1"/>
      <c r="B116"/>
      <c r="C116"/>
      <c r="D116"/>
      <c r="E116"/>
      <c r="F116"/>
      <c r="G116"/>
      <c r="H116"/>
      <c r="I116"/>
    </row>
    <row r="117" spans="1:9" ht="14.4" x14ac:dyDescent="0.3">
      <c r="A117" s="1"/>
      <c r="B117"/>
      <c r="C117"/>
      <c r="D117"/>
      <c r="E117"/>
      <c r="F117"/>
      <c r="G117"/>
      <c r="H117"/>
      <c r="I117"/>
    </row>
    <row r="118" spans="1:9" ht="14.4" x14ac:dyDescent="0.3">
      <c r="A118" s="1"/>
      <c r="B118"/>
      <c r="C118"/>
      <c r="D118"/>
      <c r="E118"/>
      <c r="F118"/>
      <c r="G118"/>
      <c r="H118"/>
      <c r="I118"/>
    </row>
    <row r="119" spans="1:9" ht="14.4" x14ac:dyDescent="0.3">
      <c r="A119" s="1"/>
      <c r="B119"/>
      <c r="C119"/>
      <c r="D119"/>
      <c r="E119"/>
      <c r="F119"/>
      <c r="G119"/>
      <c r="H119"/>
      <c r="I119"/>
    </row>
    <row r="120" spans="1:9" ht="14.4" x14ac:dyDescent="0.3">
      <c r="A120" s="1"/>
      <c r="B120"/>
      <c r="C120"/>
      <c r="D120"/>
      <c r="E120"/>
      <c r="F120"/>
      <c r="G120"/>
      <c r="H120"/>
      <c r="I120"/>
    </row>
    <row r="121" spans="1:9" ht="14.4" x14ac:dyDescent="0.3">
      <c r="A121" s="1"/>
      <c r="B121"/>
      <c r="C121"/>
      <c r="D121"/>
      <c r="E121"/>
      <c r="F121"/>
      <c r="G121"/>
      <c r="H121"/>
      <c r="I121"/>
    </row>
    <row r="122" spans="1:9" ht="14.4" x14ac:dyDescent="0.3">
      <c r="A122" s="1"/>
      <c r="B122"/>
      <c r="C122"/>
      <c r="D122"/>
      <c r="E122"/>
      <c r="F122"/>
      <c r="G122"/>
      <c r="H122"/>
      <c r="I122"/>
    </row>
    <row r="123" spans="1:9" ht="14.4" x14ac:dyDescent="0.3">
      <c r="A123" s="1"/>
      <c r="B123"/>
      <c r="C123"/>
      <c r="D123"/>
      <c r="E123"/>
      <c r="F123"/>
      <c r="G123"/>
      <c r="H123"/>
      <c r="I123"/>
    </row>
    <row r="124" spans="1:9" ht="14.4" x14ac:dyDescent="0.3">
      <c r="A124" s="1"/>
      <c r="B124"/>
      <c r="C124"/>
      <c r="D124"/>
      <c r="E124"/>
      <c r="F124"/>
      <c r="G124"/>
      <c r="H124"/>
      <c r="I124"/>
    </row>
    <row r="125" spans="1:9" ht="14.4" x14ac:dyDescent="0.3">
      <c r="A125" s="1"/>
      <c r="B125"/>
      <c r="C125"/>
      <c r="D125"/>
      <c r="E125"/>
      <c r="F125"/>
      <c r="G125"/>
      <c r="H125"/>
      <c r="I125"/>
    </row>
    <row r="126" spans="1:9" ht="14.4" x14ac:dyDescent="0.3">
      <c r="A126" s="1"/>
      <c r="B126"/>
      <c r="C126"/>
      <c r="D126"/>
      <c r="E126"/>
      <c r="F126"/>
      <c r="G126"/>
      <c r="H126"/>
      <c r="I126"/>
    </row>
    <row r="127" spans="1:9" ht="14.4" x14ac:dyDescent="0.3">
      <c r="A127" s="1"/>
      <c r="B127"/>
      <c r="C127"/>
      <c r="D127"/>
      <c r="E127"/>
      <c r="F127"/>
      <c r="G127"/>
      <c r="H127"/>
      <c r="I127"/>
    </row>
    <row r="128" spans="1:9" ht="14.4" x14ac:dyDescent="0.3">
      <c r="A128" s="1"/>
      <c r="B128"/>
      <c r="C128"/>
      <c r="D128"/>
      <c r="E128"/>
      <c r="F128"/>
      <c r="G128"/>
      <c r="H128"/>
      <c r="I128"/>
    </row>
    <row r="129" spans="1:9" ht="14.4" x14ac:dyDescent="0.3">
      <c r="A129" s="1"/>
      <c r="B129"/>
      <c r="C129"/>
      <c r="D129"/>
      <c r="E129"/>
      <c r="F129"/>
      <c r="G129"/>
      <c r="H129"/>
      <c r="I129"/>
    </row>
    <row r="130" spans="1:9" ht="14.4" x14ac:dyDescent="0.3">
      <c r="A130" s="1"/>
      <c r="B130"/>
      <c r="C130"/>
      <c r="D130"/>
      <c r="E130"/>
      <c r="F130"/>
      <c r="G130"/>
      <c r="H130"/>
      <c r="I130"/>
    </row>
    <row r="131" spans="1:9" ht="14.4" x14ac:dyDescent="0.3">
      <c r="A131" s="1"/>
      <c r="B131"/>
      <c r="C131"/>
      <c r="D131"/>
      <c r="E131"/>
      <c r="F131"/>
      <c r="G131"/>
      <c r="H131"/>
      <c r="I131"/>
    </row>
    <row r="132" spans="1:9" ht="14.4" x14ac:dyDescent="0.3">
      <c r="A132" s="1"/>
      <c r="B132"/>
      <c r="C132"/>
      <c r="D132"/>
      <c r="E132"/>
      <c r="F132"/>
      <c r="G132"/>
      <c r="H132"/>
      <c r="I132"/>
    </row>
    <row r="133" spans="1:9" ht="14.4" x14ac:dyDescent="0.3">
      <c r="A133" s="1"/>
      <c r="B133"/>
      <c r="C133"/>
      <c r="D133"/>
      <c r="E133"/>
      <c r="F133"/>
      <c r="G133"/>
      <c r="H133"/>
      <c r="I133"/>
    </row>
    <row r="134" spans="1:9" ht="14.4" x14ac:dyDescent="0.3">
      <c r="A134" s="1"/>
      <c r="B134"/>
      <c r="C134"/>
      <c r="D134"/>
      <c r="E134"/>
      <c r="F134"/>
      <c r="G134"/>
      <c r="H134"/>
      <c r="I134"/>
    </row>
    <row r="135" spans="1:9" ht="14.4" x14ac:dyDescent="0.3">
      <c r="A135" s="1"/>
      <c r="B135"/>
      <c r="C135"/>
      <c r="D135"/>
      <c r="E135"/>
      <c r="F135"/>
      <c r="G135"/>
      <c r="H135"/>
      <c r="I135"/>
    </row>
    <row r="136" spans="1:9" ht="14.4" x14ac:dyDescent="0.3">
      <c r="A136" s="1"/>
      <c r="B136"/>
      <c r="C136"/>
      <c r="D136"/>
      <c r="E136"/>
      <c r="F136"/>
      <c r="G136"/>
      <c r="H136"/>
      <c r="I136"/>
    </row>
    <row r="137" spans="1:9" ht="14.4" x14ac:dyDescent="0.3">
      <c r="A137" s="1"/>
      <c r="B137"/>
      <c r="C137"/>
      <c r="D137"/>
      <c r="E137"/>
      <c r="F137"/>
      <c r="G137"/>
      <c r="H137"/>
      <c r="I137"/>
    </row>
    <row r="138" spans="1:9" ht="14.4" x14ac:dyDescent="0.3">
      <c r="A138" s="1"/>
      <c r="B138"/>
      <c r="C138"/>
      <c r="D138"/>
      <c r="E138"/>
      <c r="F138"/>
      <c r="G138"/>
      <c r="H138"/>
      <c r="I138"/>
    </row>
    <row r="139" spans="1:9" ht="14.4" x14ac:dyDescent="0.3">
      <c r="A139" s="1"/>
      <c r="B139"/>
      <c r="C139"/>
      <c r="D139"/>
      <c r="E139"/>
      <c r="F139"/>
      <c r="G139"/>
      <c r="H139"/>
      <c r="I139"/>
    </row>
    <row r="140" spans="1:9" ht="14.4" x14ac:dyDescent="0.3">
      <c r="A140" s="1"/>
      <c r="B140"/>
      <c r="C140"/>
      <c r="D140"/>
      <c r="E140"/>
      <c r="F140"/>
      <c r="G140"/>
      <c r="H140"/>
      <c r="I140"/>
    </row>
    <row r="141" spans="1:9" ht="14.4" x14ac:dyDescent="0.3">
      <c r="A141" s="1"/>
      <c r="B141"/>
      <c r="C141"/>
      <c r="D141"/>
      <c r="E141"/>
      <c r="F141"/>
      <c r="G141"/>
      <c r="H141"/>
      <c r="I141"/>
    </row>
    <row r="142" spans="1:9" ht="14.4" x14ac:dyDescent="0.3">
      <c r="A142" s="1"/>
      <c r="B142"/>
      <c r="C142"/>
      <c r="D142"/>
      <c r="E142"/>
      <c r="F142"/>
      <c r="G142"/>
      <c r="H142"/>
      <c r="I142"/>
    </row>
    <row r="143" spans="1:9" ht="14.4" x14ac:dyDescent="0.3">
      <c r="A143" s="1"/>
      <c r="B143"/>
      <c r="C143"/>
      <c r="D143"/>
      <c r="E143"/>
      <c r="F143"/>
      <c r="G143"/>
      <c r="H143"/>
      <c r="I143"/>
    </row>
    <row r="144" spans="1:9" ht="14.4" x14ac:dyDescent="0.3">
      <c r="A144" s="1"/>
      <c r="B144"/>
      <c r="C144"/>
      <c r="D144"/>
      <c r="E144"/>
      <c r="F144"/>
      <c r="G144"/>
      <c r="H144"/>
      <c r="I144"/>
    </row>
    <row r="145" spans="1:9" ht="14.4" x14ac:dyDescent="0.3">
      <c r="A145" s="1"/>
      <c r="B145"/>
      <c r="C145"/>
      <c r="D145"/>
      <c r="E145"/>
      <c r="F145"/>
      <c r="G145"/>
      <c r="H145"/>
      <c r="I145"/>
    </row>
    <row r="146" spans="1:9" ht="14.4" x14ac:dyDescent="0.3">
      <c r="A146" s="1"/>
      <c r="B146"/>
      <c r="C146"/>
      <c r="D146"/>
      <c r="E146"/>
      <c r="F146"/>
      <c r="G146"/>
      <c r="H146"/>
      <c r="I146"/>
    </row>
    <row r="147" spans="1:9" ht="14.4" x14ac:dyDescent="0.3">
      <c r="A147" s="1"/>
      <c r="B147"/>
      <c r="C147"/>
      <c r="D147"/>
      <c r="E147"/>
      <c r="F147"/>
      <c r="G147"/>
      <c r="H147"/>
      <c r="I147"/>
    </row>
    <row r="148" spans="1:9" ht="14.4" x14ac:dyDescent="0.3">
      <c r="A148" s="1"/>
      <c r="B148"/>
      <c r="C148"/>
      <c r="D148"/>
      <c r="E148"/>
      <c r="F148"/>
      <c r="G148"/>
      <c r="H148"/>
      <c r="I148"/>
    </row>
    <row r="149" spans="1:9" ht="14.4" x14ac:dyDescent="0.3">
      <c r="A149" s="1"/>
      <c r="B149"/>
      <c r="C149"/>
      <c r="D149"/>
      <c r="E149"/>
      <c r="F149"/>
      <c r="G149"/>
      <c r="H149"/>
      <c r="I149"/>
    </row>
    <row r="150" spans="1:9" ht="14.4" x14ac:dyDescent="0.3">
      <c r="A150" s="1"/>
      <c r="B150"/>
      <c r="C150"/>
      <c r="D150"/>
      <c r="E150"/>
      <c r="F150"/>
      <c r="G150"/>
      <c r="H150"/>
      <c r="I150"/>
    </row>
    <row r="151" spans="1:9" ht="14.4" x14ac:dyDescent="0.3">
      <c r="A151" s="1"/>
      <c r="B151"/>
      <c r="C151"/>
      <c r="D151"/>
      <c r="E151"/>
      <c r="F151"/>
      <c r="G151"/>
      <c r="H151"/>
      <c r="I151"/>
    </row>
    <row r="152" spans="1:9" ht="14.4" x14ac:dyDescent="0.3">
      <c r="A152" s="1"/>
      <c r="B152"/>
      <c r="C152"/>
      <c r="D152"/>
      <c r="E152"/>
      <c r="F152"/>
      <c r="G152"/>
      <c r="H152"/>
      <c r="I152"/>
    </row>
    <row r="153" spans="1:9" ht="14.4" x14ac:dyDescent="0.3">
      <c r="A153" s="1"/>
      <c r="B153"/>
      <c r="C153"/>
      <c r="D153"/>
      <c r="E153"/>
      <c r="F153"/>
      <c r="G153"/>
      <c r="H153"/>
      <c r="I153"/>
    </row>
    <row r="154" spans="1:9" ht="14.4" x14ac:dyDescent="0.3">
      <c r="A154" s="1"/>
      <c r="B154"/>
      <c r="C154"/>
      <c r="D154"/>
      <c r="E154"/>
      <c r="F154"/>
      <c r="G154"/>
      <c r="H154"/>
      <c r="I154"/>
    </row>
    <row r="155" spans="1:9" ht="14.4" x14ac:dyDescent="0.3">
      <c r="A155" s="1"/>
      <c r="B155"/>
      <c r="C155"/>
      <c r="D155"/>
      <c r="E155"/>
      <c r="F155"/>
      <c r="G155"/>
      <c r="H155"/>
      <c r="I155"/>
    </row>
    <row r="156" spans="1:9" ht="14.4" x14ac:dyDescent="0.3">
      <c r="A156" s="1"/>
      <c r="B156"/>
      <c r="C156"/>
      <c r="D156"/>
      <c r="E156"/>
      <c r="F156"/>
      <c r="G156"/>
      <c r="H156"/>
      <c r="I156"/>
    </row>
    <row r="157" spans="1:9" ht="14.4" x14ac:dyDescent="0.3">
      <c r="A157" s="1"/>
      <c r="B157"/>
      <c r="C157"/>
      <c r="D157"/>
      <c r="E157"/>
      <c r="F157"/>
      <c r="G157"/>
      <c r="H157"/>
      <c r="I157"/>
    </row>
    <row r="158" spans="1:9" ht="14.4" x14ac:dyDescent="0.3">
      <c r="A158" s="1"/>
      <c r="B158"/>
      <c r="C158"/>
      <c r="D158"/>
      <c r="E158"/>
      <c r="F158"/>
      <c r="G158"/>
      <c r="H158"/>
      <c r="I158"/>
    </row>
    <row r="159" spans="1:9" ht="14.4" x14ac:dyDescent="0.3">
      <c r="A159" s="1"/>
      <c r="B159"/>
      <c r="C159"/>
      <c r="D159"/>
      <c r="E159"/>
      <c r="F159"/>
      <c r="G159"/>
      <c r="H159"/>
      <c r="I159"/>
    </row>
    <row r="160" spans="1:9" ht="14.4" x14ac:dyDescent="0.3">
      <c r="A160" s="1"/>
      <c r="B160"/>
      <c r="C160"/>
      <c r="D160"/>
      <c r="E160"/>
      <c r="F160"/>
      <c r="G160"/>
      <c r="H160"/>
      <c r="I160"/>
    </row>
    <row r="161" spans="1:9" ht="14.4" x14ac:dyDescent="0.3">
      <c r="A161" s="1"/>
      <c r="B161"/>
      <c r="C161"/>
      <c r="D161"/>
      <c r="E161"/>
      <c r="F161"/>
      <c r="G161"/>
      <c r="H161"/>
      <c r="I161"/>
    </row>
    <row r="162" spans="1:9" ht="14.4" x14ac:dyDescent="0.3">
      <c r="A162" s="1"/>
      <c r="B162"/>
      <c r="C162"/>
      <c r="D162"/>
      <c r="E162"/>
      <c r="F162"/>
      <c r="G162"/>
      <c r="H162"/>
      <c r="I162"/>
    </row>
    <row r="163" spans="1:9" ht="14.4" x14ac:dyDescent="0.3">
      <c r="A163" s="1"/>
      <c r="B163"/>
      <c r="C163"/>
      <c r="D163"/>
      <c r="E163"/>
      <c r="F163"/>
      <c r="G163"/>
      <c r="H163"/>
      <c r="I163"/>
    </row>
    <row r="164" spans="1:9" ht="14.4" x14ac:dyDescent="0.3">
      <c r="A164" s="1"/>
      <c r="B164"/>
      <c r="C164"/>
      <c r="D164"/>
      <c r="E164"/>
      <c r="F164"/>
      <c r="G164"/>
      <c r="H164"/>
      <c r="I164"/>
    </row>
    <row r="165" spans="1:9" ht="14.4" x14ac:dyDescent="0.3">
      <c r="A165" s="1"/>
      <c r="B165"/>
      <c r="C165"/>
      <c r="D165"/>
      <c r="E165"/>
      <c r="F165"/>
      <c r="G165"/>
      <c r="H165"/>
      <c r="I165"/>
    </row>
    <row r="166" spans="1:9" ht="14.4" x14ac:dyDescent="0.3">
      <c r="A166" s="1"/>
      <c r="B166"/>
      <c r="C166"/>
      <c r="D166"/>
      <c r="E166"/>
      <c r="F166"/>
      <c r="G166"/>
      <c r="H166"/>
      <c r="I166"/>
    </row>
    <row r="167" spans="1:9" ht="14.4" x14ac:dyDescent="0.3">
      <c r="A167" s="1"/>
      <c r="B167"/>
      <c r="C167"/>
      <c r="D167"/>
      <c r="E167"/>
      <c r="F167"/>
      <c r="G167"/>
      <c r="H167"/>
      <c r="I167"/>
    </row>
    <row r="168" spans="1:9" ht="14.4" x14ac:dyDescent="0.3">
      <c r="A168" s="1"/>
      <c r="B168"/>
      <c r="C168"/>
      <c r="D168"/>
      <c r="E168"/>
      <c r="F168"/>
      <c r="G168"/>
      <c r="H168"/>
      <c r="I168"/>
    </row>
    <row r="169" spans="1:9" ht="14.4" x14ac:dyDescent="0.3">
      <c r="A169" s="1"/>
      <c r="B169"/>
      <c r="C169"/>
      <c r="D169"/>
      <c r="E169"/>
      <c r="F169"/>
      <c r="G169"/>
      <c r="H169"/>
      <c r="I169"/>
    </row>
    <row r="170" spans="1:9" ht="14.4" x14ac:dyDescent="0.3">
      <c r="A170" s="1"/>
      <c r="B170"/>
      <c r="C170"/>
      <c r="D170"/>
      <c r="E170"/>
      <c r="F170"/>
      <c r="G170"/>
      <c r="H170"/>
      <c r="I170"/>
    </row>
    <row r="171" spans="1:9" ht="14.4" x14ac:dyDescent="0.3">
      <c r="A171" s="1"/>
      <c r="B171"/>
      <c r="C171"/>
      <c r="D171"/>
      <c r="E171"/>
      <c r="F171"/>
      <c r="G171"/>
      <c r="H171"/>
      <c r="I171"/>
    </row>
    <row r="172" spans="1:9" ht="14.4" x14ac:dyDescent="0.3">
      <c r="A172" s="1"/>
      <c r="B172"/>
      <c r="C172"/>
      <c r="D172"/>
      <c r="E172"/>
      <c r="F172"/>
      <c r="G172"/>
      <c r="H172"/>
      <c r="I172"/>
    </row>
    <row r="173" spans="1:9" ht="14.4" x14ac:dyDescent="0.3">
      <c r="A173" s="1"/>
      <c r="B173"/>
      <c r="C173"/>
      <c r="D173"/>
      <c r="E173"/>
      <c r="F173"/>
      <c r="G173"/>
      <c r="H173"/>
      <c r="I173"/>
    </row>
    <row r="174" spans="1:9" ht="14.4" x14ac:dyDescent="0.3">
      <c r="A174" s="1"/>
      <c r="B174"/>
      <c r="C174"/>
      <c r="D174"/>
      <c r="E174"/>
      <c r="F174"/>
      <c r="G174"/>
      <c r="H174"/>
      <c r="I174"/>
    </row>
    <row r="175" spans="1:9" ht="14.4" x14ac:dyDescent="0.3">
      <c r="A175" s="1"/>
      <c r="B175"/>
      <c r="C175"/>
      <c r="D175"/>
      <c r="E175"/>
      <c r="F175"/>
      <c r="G175"/>
      <c r="H175"/>
      <c r="I175"/>
    </row>
    <row r="176" spans="1:9" ht="14.4" x14ac:dyDescent="0.3">
      <c r="A176" s="1"/>
      <c r="B176"/>
      <c r="C176"/>
      <c r="D176"/>
      <c r="E176"/>
      <c r="F176"/>
      <c r="G176"/>
      <c r="H176"/>
      <c r="I176"/>
    </row>
    <row r="177" spans="1:9" ht="14.4" x14ac:dyDescent="0.3">
      <c r="A177" s="1"/>
      <c r="B177"/>
      <c r="C177"/>
      <c r="D177"/>
      <c r="E177"/>
      <c r="F177"/>
      <c r="G177"/>
      <c r="H177"/>
      <c r="I177"/>
    </row>
    <row r="178" spans="1:9" ht="14.4" x14ac:dyDescent="0.3">
      <c r="A178" s="1"/>
      <c r="B178"/>
      <c r="C178"/>
      <c r="D178"/>
      <c r="E178"/>
      <c r="F178"/>
      <c r="G178"/>
      <c r="H178"/>
      <c r="I178"/>
    </row>
    <row r="179" spans="1:9" ht="14.4" x14ac:dyDescent="0.3">
      <c r="A179" s="1"/>
      <c r="B179"/>
      <c r="C179"/>
      <c r="D179"/>
      <c r="E179"/>
      <c r="F179"/>
      <c r="G179"/>
      <c r="H179"/>
      <c r="I179"/>
    </row>
    <row r="180" spans="1:9" ht="14.4" x14ac:dyDescent="0.3">
      <c r="A180" s="1"/>
      <c r="B180"/>
      <c r="C180"/>
      <c r="D180"/>
      <c r="E180"/>
      <c r="F180"/>
      <c r="G180"/>
      <c r="H180"/>
      <c r="I180"/>
    </row>
    <row r="181" spans="1:9" ht="14.4" x14ac:dyDescent="0.3">
      <c r="A181" s="1"/>
      <c r="B181"/>
      <c r="C181"/>
      <c r="D181"/>
      <c r="E181"/>
      <c r="F181"/>
      <c r="G181"/>
      <c r="H181"/>
      <c r="I181"/>
    </row>
    <row r="182" spans="1:9" ht="14.4" x14ac:dyDescent="0.3">
      <c r="A182" s="1"/>
      <c r="B182"/>
      <c r="C182"/>
      <c r="D182"/>
      <c r="E182"/>
      <c r="F182"/>
      <c r="G182"/>
      <c r="H182"/>
      <c r="I182"/>
    </row>
    <row r="183" spans="1:9" ht="14.4" x14ac:dyDescent="0.3">
      <c r="A183" s="1"/>
      <c r="B183"/>
      <c r="C183"/>
      <c r="D183"/>
      <c r="E183"/>
      <c r="F183"/>
      <c r="G183"/>
      <c r="H183"/>
      <c r="I183"/>
    </row>
    <row r="184" spans="1:9" ht="14.4" x14ac:dyDescent="0.3">
      <c r="A184" s="1"/>
      <c r="B184"/>
      <c r="C184"/>
      <c r="D184"/>
      <c r="E184"/>
      <c r="F184"/>
      <c r="G184"/>
      <c r="H184"/>
      <c r="I184"/>
    </row>
    <row r="185" spans="1:9" ht="14.4" x14ac:dyDescent="0.3">
      <c r="A185" s="1"/>
      <c r="B185"/>
      <c r="C185"/>
      <c r="D185"/>
      <c r="E185"/>
      <c r="F185"/>
      <c r="G185"/>
      <c r="H185"/>
      <c r="I185"/>
    </row>
    <row r="186" spans="1:9" ht="14.4" x14ac:dyDescent="0.3">
      <c r="A186" s="1"/>
      <c r="B186"/>
      <c r="C186"/>
      <c r="D186"/>
      <c r="E186"/>
      <c r="F186"/>
      <c r="G186"/>
      <c r="H186"/>
      <c r="I186"/>
    </row>
    <row r="187" spans="1:9" ht="14.4" x14ac:dyDescent="0.3">
      <c r="A187" s="1"/>
      <c r="B187"/>
      <c r="C187"/>
      <c r="D187"/>
      <c r="E187"/>
      <c r="F187"/>
      <c r="G187"/>
      <c r="H187"/>
      <c r="I187"/>
    </row>
    <row r="188" spans="1:9" ht="14.4" x14ac:dyDescent="0.3">
      <c r="A188" s="1"/>
      <c r="B188"/>
      <c r="C188"/>
      <c r="D188"/>
      <c r="E188"/>
      <c r="F188"/>
      <c r="G188"/>
      <c r="H188"/>
      <c r="I188"/>
    </row>
    <row r="189" spans="1:9" ht="14.4" x14ac:dyDescent="0.3">
      <c r="A189" s="1"/>
      <c r="B189"/>
      <c r="C189"/>
      <c r="D189"/>
      <c r="E189"/>
      <c r="F189"/>
      <c r="G189"/>
      <c r="H189"/>
      <c r="I189"/>
    </row>
    <row r="190" spans="1:9" ht="14.4" x14ac:dyDescent="0.3">
      <c r="A190" s="1"/>
      <c r="B190"/>
      <c r="C190"/>
      <c r="D190"/>
      <c r="E190"/>
      <c r="F190"/>
      <c r="G190"/>
      <c r="H190"/>
      <c r="I190"/>
    </row>
    <row r="191" spans="1:9" ht="14.4" x14ac:dyDescent="0.3">
      <c r="A191" s="1"/>
      <c r="B191"/>
      <c r="C191"/>
      <c r="D191"/>
      <c r="E191"/>
      <c r="F191"/>
      <c r="G191"/>
      <c r="H191"/>
      <c r="I191"/>
    </row>
    <row r="192" spans="1:9" ht="14.4" x14ac:dyDescent="0.3">
      <c r="A192" s="1"/>
      <c r="B192"/>
      <c r="C192"/>
      <c r="D192"/>
      <c r="E192"/>
      <c r="F192"/>
      <c r="G192"/>
      <c r="H192"/>
      <c r="I192"/>
    </row>
    <row r="193" spans="1:9" ht="14.4" x14ac:dyDescent="0.3">
      <c r="A193" s="1"/>
      <c r="B193"/>
      <c r="C193"/>
      <c r="D193"/>
      <c r="E193"/>
      <c r="F193"/>
      <c r="G193"/>
      <c r="H193"/>
      <c r="I193"/>
    </row>
    <row r="194" spans="1:9" ht="14.4" x14ac:dyDescent="0.3">
      <c r="A194" s="1"/>
      <c r="B194"/>
      <c r="C194"/>
      <c r="D194"/>
      <c r="E194"/>
      <c r="F194"/>
      <c r="G194"/>
      <c r="H194"/>
      <c r="I194"/>
    </row>
    <row r="195" spans="1:9" ht="14.4" x14ac:dyDescent="0.3">
      <c r="A195" s="1"/>
      <c r="B195"/>
      <c r="C195"/>
      <c r="D195"/>
      <c r="E195"/>
      <c r="F195"/>
      <c r="G195"/>
      <c r="H195"/>
      <c r="I195"/>
    </row>
    <row r="196" spans="1:9" ht="14.4" x14ac:dyDescent="0.3">
      <c r="A196" s="1"/>
      <c r="B196"/>
      <c r="C196"/>
      <c r="D196"/>
      <c r="E196"/>
      <c r="F196"/>
      <c r="G196"/>
      <c r="H196"/>
      <c r="I196"/>
    </row>
    <row r="197" spans="1:9" ht="14.4" x14ac:dyDescent="0.3">
      <c r="A197" s="1"/>
      <c r="B197"/>
      <c r="C197"/>
      <c r="D197"/>
      <c r="E197"/>
      <c r="F197"/>
      <c r="G197"/>
      <c r="H197"/>
      <c r="I197"/>
    </row>
    <row r="198" spans="1:9" ht="14.4" x14ac:dyDescent="0.3">
      <c r="A198" s="1"/>
      <c r="B198"/>
      <c r="C198"/>
      <c r="D198"/>
      <c r="E198"/>
      <c r="F198"/>
      <c r="G198"/>
      <c r="H198"/>
      <c r="I198"/>
    </row>
    <row r="199" spans="1:9" ht="14.4" x14ac:dyDescent="0.3">
      <c r="A199" s="1"/>
      <c r="B199"/>
      <c r="C199"/>
      <c r="D199"/>
      <c r="E199"/>
      <c r="F199"/>
      <c r="G199"/>
      <c r="H199"/>
      <c r="I199"/>
    </row>
    <row r="200" spans="1:9" ht="14.4" x14ac:dyDescent="0.3">
      <c r="A200" s="1"/>
      <c r="B200"/>
      <c r="C200"/>
      <c r="D200"/>
      <c r="E200"/>
      <c r="F200"/>
      <c r="G200"/>
      <c r="H200"/>
      <c r="I200"/>
    </row>
    <row r="201" spans="1:9" ht="14.4" x14ac:dyDescent="0.3">
      <c r="A201" s="1"/>
      <c r="B201"/>
      <c r="C201"/>
      <c r="D201"/>
      <c r="E201"/>
      <c r="F201"/>
      <c r="G201"/>
      <c r="H201"/>
      <c r="I201"/>
    </row>
    <row r="202" spans="1:9" ht="14.4" x14ac:dyDescent="0.3">
      <c r="A202" s="1"/>
      <c r="B202"/>
      <c r="C202"/>
      <c r="D202"/>
      <c r="E202"/>
      <c r="F202"/>
      <c r="G202"/>
      <c r="H202"/>
      <c r="I202"/>
    </row>
    <row r="203" spans="1:9" ht="14.4" x14ac:dyDescent="0.3">
      <c r="A203" s="1"/>
      <c r="B203"/>
      <c r="C203"/>
      <c r="D203"/>
      <c r="E203"/>
      <c r="F203"/>
      <c r="G203"/>
      <c r="H203"/>
      <c r="I203"/>
    </row>
    <row r="204" spans="1:9" ht="14.4" x14ac:dyDescent="0.3">
      <c r="A204" s="1"/>
      <c r="B204"/>
      <c r="C204"/>
      <c r="D204"/>
      <c r="E204"/>
      <c r="F204"/>
      <c r="G204"/>
      <c r="H204"/>
      <c r="I204"/>
    </row>
    <row r="205" spans="1:9" ht="14.4" x14ac:dyDescent="0.3">
      <c r="A205" s="1"/>
      <c r="B205"/>
      <c r="C205"/>
      <c r="D205"/>
      <c r="E205"/>
      <c r="F205"/>
      <c r="G205"/>
      <c r="H205"/>
      <c r="I205"/>
    </row>
    <row r="206" spans="1:9" ht="14.4" x14ac:dyDescent="0.3">
      <c r="A206" s="1"/>
      <c r="B206"/>
      <c r="C206"/>
      <c r="D206"/>
      <c r="E206"/>
      <c r="F206"/>
      <c r="G206"/>
      <c r="H206"/>
      <c r="I206"/>
    </row>
    <row r="207" spans="1:9" ht="14.4" x14ac:dyDescent="0.3">
      <c r="A207" s="1"/>
      <c r="B207"/>
      <c r="C207"/>
      <c r="D207"/>
      <c r="E207"/>
      <c r="F207"/>
      <c r="G207"/>
      <c r="H207"/>
      <c r="I207"/>
    </row>
    <row r="208" spans="1:9" ht="14.4" x14ac:dyDescent="0.3">
      <c r="A208" s="1"/>
      <c r="B208"/>
      <c r="C208"/>
      <c r="D208"/>
      <c r="E208"/>
      <c r="F208"/>
      <c r="G208"/>
      <c r="H208"/>
      <c r="I208"/>
    </row>
    <row r="209" spans="1:9" ht="14.4" x14ac:dyDescent="0.3">
      <c r="A209" s="1"/>
      <c r="B209"/>
      <c r="C209"/>
      <c r="D209"/>
      <c r="E209"/>
      <c r="F209"/>
      <c r="G209"/>
      <c r="H209"/>
      <c r="I209"/>
    </row>
    <row r="210" spans="1:9" ht="14.4" x14ac:dyDescent="0.3">
      <c r="A210" s="1"/>
      <c r="B210"/>
      <c r="C210"/>
      <c r="D210"/>
      <c r="E210"/>
      <c r="F210"/>
      <c r="G210"/>
      <c r="H210"/>
      <c r="I210"/>
    </row>
    <row r="211" spans="1:9" ht="14.4" x14ac:dyDescent="0.3">
      <c r="A211" s="1"/>
      <c r="B211"/>
      <c r="C211"/>
      <c r="D211"/>
      <c r="E211"/>
      <c r="F211"/>
      <c r="G211"/>
      <c r="H211"/>
      <c r="I211"/>
    </row>
    <row r="212" spans="1:9" ht="14.4" x14ac:dyDescent="0.3">
      <c r="A212" s="1"/>
      <c r="B212"/>
      <c r="C212"/>
      <c r="D212"/>
      <c r="E212"/>
      <c r="F212"/>
      <c r="G212"/>
      <c r="H212"/>
      <c r="I212"/>
    </row>
    <row r="213" spans="1:9" ht="14.4" x14ac:dyDescent="0.3">
      <c r="A213" s="1"/>
      <c r="B213"/>
      <c r="C213"/>
      <c r="D213"/>
      <c r="E213"/>
      <c r="F213"/>
      <c r="G213"/>
      <c r="H213"/>
      <c r="I213"/>
    </row>
    <row r="214" spans="1:9" ht="14.4" x14ac:dyDescent="0.3">
      <c r="A214" s="1"/>
      <c r="B214"/>
      <c r="C214"/>
      <c r="D214"/>
      <c r="E214"/>
      <c r="F214"/>
      <c r="G214"/>
      <c r="H214"/>
      <c r="I214"/>
    </row>
    <row r="215" spans="1:9" ht="14.4" x14ac:dyDescent="0.3">
      <c r="A215" s="1"/>
      <c r="B215"/>
      <c r="C215"/>
      <c r="D215"/>
      <c r="E215"/>
      <c r="F215"/>
      <c r="G215"/>
      <c r="H215"/>
      <c r="I215"/>
    </row>
    <row r="216" spans="1:9" ht="14.4" x14ac:dyDescent="0.3">
      <c r="A216" s="1"/>
      <c r="B216"/>
      <c r="C216"/>
      <c r="D216"/>
      <c r="E216"/>
      <c r="F216"/>
      <c r="G216"/>
      <c r="H216"/>
      <c r="I216"/>
    </row>
    <row r="217" spans="1:9" ht="14.4" x14ac:dyDescent="0.3">
      <c r="A217" s="1"/>
      <c r="B217"/>
      <c r="C217"/>
      <c r="D217"/>
      <c r="E217"/>
      <c r="F217"/>
      <c r="G217"/>
      <c r="H217"/>
      <c r="I217"/>
    </row>
    <row r="218" spans="1:9" ht="14.4" x14ac:dyDescent="0.3">
      <c r="A218" s="1"/>
      <c r="B218"/>
      <c r="C218"/>
      <c r="D218"/>
      <c r="E218"/>
      <c r="F218"/>
      <c r="G218"/>
      <c r="H218"/>
      <c r="I218"/>
    </row>
    <row r="219" spans="1:9" ht="14.4" x14ac:dyDescent="0.3">
      <c r="A219" s="1"/>
      <c r="B219"/>
      <c r="C219"/>
      <c r="D219"/>
      <c r="E219"/>
      <c r="F219"/>
      <c r="G219"/>
      <c r="H219"/>
      <c r="I219"/>
    </row>
    <row r="220" spans="1:9" ht="14.4" x14ac:dyDescent="0.3">
      <c r="A220" s="1"/>
      <c r="B220"/>
      <c r="C220"/>
      <c r="D220"/>
      <c r="E220"/>
      <c r="F220"/>
      <c r="G220"/>
      <c r="H220"/>
      <c r="I220"/>
    </row>
    <row r="221" spans="1:9" ht="14.4" x14ac:dyDescent="0.3">
      <c r="A221" s="1"/>
      <c r="B221"/>
      <c r="C221"/>
      <c r="D221"/>
      <c r="E221"/>
      <c r="F221"/>
      <c r="G221"/>
      <c r="H221"/>
      <c r="I221"/>
    </row>
    <row r="222" spans="1:9" ht="14.4" x14ac:dyDescent="0.3">
      <c r="A222" s="1"/>
      <c r="B222"/>
      <c r="C222"/>
      <c r="D222"/>
      <c r="E222"/>
      <c r="F222"/>
      <c r="G222"/>
      <c r="H222"/>
      <c r="I222"/>
    </row>
    <row r="223" spans="1:9" ht="14.4" x14ac:dyDescent="0.3">
      <c r="A223" s="1"/>
      <c r="B223"/>
      <c r="C223"/>
      <c r="D223"/>
      <c r="E223"/>
      <c r="F223"/>
      <c r="G223"/>
      <c r="H223"/>
      <c r="I223"/>
    </row>
    <row r="224" spans="1:9" ht="14.4" x14ac:dyDescent="0.3">
      <c r="A224" s="1"/>
      <c r="B224"/>
      <c r="C224"/>
      <c r="D224"/>
      <c r="E224"/>
      <c r="F224"/>
      <c r="G224"/>
      <c r="H224"/>
      <c r="I224"/>
    </row>
    <row r="225" spans="1:9" ht="14.4" x14ac:dyDescent="0.3">
      <c r="A225" s="1"/>
      <c r="B225"/>
      <c r="C225"/>
      <c r="D225"/>
      <c r="E225"/>
      <c r="F225"/>
      <c r="G225"/>
      <c r="H225"/>
      <c r="I225"/>
    </row>
    <row r="226" spans="1:9" ht="14.4" x14ac:dyDescent="0.3">
      <c r="A226" s="1"/>
      <c r="B226"/>
      <c r="C226"/>
      <c r="D226"/>
      <c r="E226"/>
      <c r="F226"/>
      <c r="G226"/>
      <c r="H226"/>
      <c r="I226"/>
    </row>
    <row r="227" spans="1:9" ht="14.4" x14ac:dyDescent="0.3">
      <c r="A227" s="1"/>
      <c r="B227"/>
      <c r="C227"/>
      <c r="D227"/>
      <c r="E227"/>
      <c r="F227"/>
      <c r="G227"/>
      <c r="H227"/>
      <c r="I227"/>
    </row>
    <row r="228" spans="1:9" ht="14.4" x14ac:dyDescent="0.3">
      <c r="A228" s="1"/>
      <c r="B228"/>
      <c r="C228"/>
      <c r="D228"/>
      <c r="E228"/>
      <c r="F228"/>
      <c r="G228"/>
      <c r="H228"/>
      <c r="I228"/>
    </row>
    <row r="229" spans="1:9" ht="14.4" x14ac:dyDescent="0.3">
      <c r="A229" s="1"/>
      <c r="B229"/>
      <c r="C229"/>
      <c r="D229"/>
      <c r="E229"/>
      <c r="F229"/>
      <c r="G229"/>
      <c r="H229"/>
      <c r="I229"/>
    </row>
    <row r="230" spans="1:9" ht="14.4" x14ac:dyDescent="0.3">
      <c r="A230" s="1"/>
      <c r="B230"/>
      <c r="C230"/>
      <c r="D230"/>
      <c r="E230"/>
      <c r="F230"/>
      <c r="G230"/>
      <c r="H230"/>
      <c r="I230"/>
    </row>
    <row r="231" spans="1:9" ht="14.4" x14ac:dyDescent="0.3">
      <c r="A231" s="1"/>
      <c r="B231"/>
      <c r="C231"/>
      <c r="D231"/>
      <c r="E231"/>
      <c r="F231"/>
      <c r="G231"/>
      <c r="H231"/>
      <c r="I231"/>
    </row>
    <row r="232" spans="1:9" ht="14.4" x14ac:dyDescent="0.3">
      <c r="A232" s="1"/>
      <c r="B232"/>
      <c r="C232"/>
      <c r="D232"/>
      <c r="E232"/>
      <c r="F232"/>
      <c r="G232"/>
      <c r="H232"/>
      <c r="I232"/>
    </row>
    <row r="233" spans="1:9" ht="14.4" x14ac:dyDescent="0.3">
      <c r="A233" s="1"/>
      <c r="B233"/>
      <c r="C233"/>
      <c r="D233"/>
      <c r="E233"/>
      <c r="F233"/>
      <c r="G233"/>
      <c r="H233"/>
      <c r="I233"/>
    </row>
    <row r="234" spans="1:9" ht="14.4" x14ac:dyDescent="0.3">
      <c r="A234" s="1"/>
      <c r="B234"/>
      <c r="C234"/>
      <c r="D234"/>
      <c r="E234"/>
      <c r="F234"/>
      <c r="G234"/>
      <c r="H234"/>
      <c r="I234"/>
    </row>
    <row r="235" spans="1:9" ht="14.4" x14ac:dyDescent="0.3">
      <c r="A235" s="1"/>
      <c r="B235"/>
      <c r="C235"/>
      <c r="D235"/>
      <c r="E235"/>
      <c r="F235"/>
      <c r="G235"/>
      <c r="H235"/>
      <c r="I235"/>
    </row>
    <row r="236" spans="1:9" ht="14.4" x14ac:dyDescent="0.3">
      <c r="A236" s="1"/>
      <c r="B236"/>
      <c r="C236"/>
      <c r="D236"/>
      <c r="E236"/>
      <c r="F236"/>
      <c r="G236"/>
      <c r="H236"/>
      <c r="I236"/>
    </row>
    <row r="237" spans="1:9" ht="14.4" x14ac:dyDescent="0.3">
      <c r="A237" s="1"/>
      <c r="B237"/>
      <c r="C237"/>
      <c r="D237"/>
      <c r="E237"/>
      <c r="F237"/>
      <c r="G237"/>
      <c r="H237"/>
      <c r="I237"/>
    </row>
    <row r="238" spans="1:9" ht="14.4" x14ac:dyDescent="0.3">
      <c r="A238" s="1"/>
      <c r="B238"/>
      <c r="C238"/>
      <c r="D238"/>
      <c r="E238"/>
      <c r="F238"/>
      <c r="G238"/>
      <c r="H238"/>
      <c r="I238"/>
    </row>
    <row r="239" spans="1:9" ht="14.4" x14ac:dyDescent="0.3">
      <c r="A239" s="1"/>
      <c r="B239"/>
      <c r="C239"/>
      <c r="D239"/>
      <c r="E239"/>
      <c r="F239"/>
      <c r="G239"/>
      <c r="H239"/>
      <c r="I239"/>
    </row>
    <row r="240" spans="1:9" ht="14.4" x14ac:dyDescent="0.3">
      <c r="A240" s="1"/>
      <c r="B240"/>
      <c r="C240"/>
      <c r="D240"/>
      <c r="E240"/>
      <c r="F240"/>
      <c r="G240"/>
      <c r="H240"/>
      <c r="I240"/>
    </row>
    <row r="241" spans="1:9" ht="14.4" x14ac:dyDescent="0.3">
      <c r="A241" s="1"/>
      <c r="B241"/>
      <c r="C241"/>
      <c r="D241"/>
      <c r="E241"/>
      <c r="F241"/>
      <c r="G241"/>
      <c r="H241"/>
      <c r="I241"/>
    </row>
    <row r="242" spans="1:9" ht="14.4" x14ac:dyDescent="0.3">
      <c r="A242" s="1"/>
      <c r="B242"/>
      <c r="C242"/>
      <c r="D242"/>
      <c r="E242"/>
      <c r="F242"/>
      <c r="G242"/>
      <c r="H242"/>
      <c r="I242"/>
    </row>
    <row r="243" spans="1:9" ht="14.4" x14ac:dyDescent="0.3">
      <c r="A243" s="1"/>
      <c r="B243"/>
      <c r="C243"/>
      <c r="D243"/>
      <c r="E243"/>
      <c r="F243"/>
      <c r="G243"/>
      <c r="H243"/>
      <c r="I243"/>
    </row>
    <row r="244" spans="1:9" ht="14.4" x14ac:dyDescent="0.3">
      <c r="A244" s="1"/>
      <c r="B244"/>
      <c r="C244"/>
      <c r="D244"/>
      <c r="E244"/>
      <c r="F244"/>
      <c r="G244"/>
      <c r="H244"/>
      <c r="I244"/>
    </row>
    <row r="245" spans="1:9" ht="14.4" x14ac:dyDescent="0.3">
      <c r="A245" s="1"/>
      <c r="B245"/>
      <c r="C245"/>
      <c r="D245"/>
      <c r="E245"/>
      <c r="F245"/>
      <c r="G245"/>
      <c r="H245"/>
      <c r="I245"/>
    </row>
    <row r="246" spans="1:9" ht="14.4" x14ac:dyDescent="0.3">
      <c r="A246" s="1"/>
      <c r="B246"/>
      <c r="C246"/>
      <c r="D246"/>
      <c r="E246"/>
      <c r="F246"/>
      <c r="G246"/>
      <c r="H246"/>
      <c r="I246"/>
    </row>
    <row r="247" spans="1:9" ht="14.4" x14ac:dyDescent="0.3">
      <c r="A247" s="1"/>
      <c r="B247"/>
      <c r="C247"/>
      <c r="D247"/>
      <c r="E247"/>
      <c r="F247"/>
      <c r="G247"/>
      <c r="H247"/>
      <c r="I247"/>
    </row>
    <row r="248" spans="1:9" ht="14.4" x14ac:dyDescent="0.3">
      <c r="A248" s="1"/>
      <c r="B248"/>
      <c r="C248"/>
      <c r="D248"/>
      <c r="E248"/>
      <c r="F248"/>
      <c r="G248"/>
      <c r="H248"/>
      <c r="I248"/>
    </row>
    <row r="249" spans="1:9" ht="14.4" x14ac:dyDescent="0.3">
      <c r="A249" s="1"/>
      <c r="B249"/>
      <c r="C249"/>
      <c r="D249"/>
      <c r="E249"/>
      <c r="F249"/>
      <c r="G249"/>
      <c r="H249"/>
      <c r="I249"/>
    </row>
    <row r="250" spans="1:9" ht="14.4" x14ac:dyDescent="0.3">
      <c r="A250" s="1"/>
      <c r="B250"/>
      <c r="C250"/>
      <c r="D250"/>
      <c r="E250"/>
      <c r="F250"/>
      <c r="G250"/>
      <c r="H250"/>
      <c r="I250"/>
    </row>
    <row r="251" spans="1:9" ht="14.4" x14ac:dyDescent="0.3">
      <c r="A251" s="1"/>
      <c r="B251"/>
      <c r="C251"/>
      <c r="D251"/>
      <c r="E251"/>
      <c r="F251"/>
      <c r="G251"/>
      <c r="H251"/>
      <c r="I251"/>
    </row>
    <row r="252" spans="1:9" ht="14.4" x14ac:dyDescent="0.3">
      <c r="A252" s="1"/>
      <c r="B252"/>
      <c r="C252"/>
      <c r="D252"/>
      <c r="E252"/>
      <c r="F252"/>
      <c r="G252"/>
      <c r="H252"/>
      <c r="I252"/>
    </row>
    <row r="253" spans="1:9" ht="14.4" x14ac:dyDescent="0.3">
      <c r="A253" s="1"/>
      <c r="B253"/>
      <c r="C253"/>
      <c r="D253"/>
      <c r="E253"/>
      <c r="F253"/>
      <c r="G253"/>
      <c r="H253"/>
      <c r="I253"/>
    </row>
    <row r="254" spans="1:9" ht="14.4" x14ac:dyDescent="0.3">
      <c r="A254" s="1"/>
      <c r="B254"/>
      <c r="C254"/>
      <c r="D254"/>
      <c r="E254"/>
      <c r="F254"/>
      <c r="G254"/>
      <c r="H254"/>
      <c r="I254"/>
    </row>
    <row r="255" spans="1:9" ht="14.4" x14ac:dyDescent="0.3">
      <c r="A255" s="1"/>
      <c r="B255"/>
      <c r="C255"/>
      <c r="D255"/>
      <c r="E255"/>
      <c r="F255"/>
      <c r="G255"/>
      <c r="H255"/>
      <c r="I255"/>
    </row>
    <row r="256" spans="1:9" ht="14.4" x14ac:dyDescent="0.3">
      <c r="A256" s="1"/>
      <c r="B256"/>
      <c r="C256"/>
      <c r="D256"/>
      <c r="E256"/>
      <c r="F256"/>
      <c r="G256"/>
      <c r="H256"/>
      <c r="I256"/>
    </row>
    <row r="257" spans="1:9" ht="14.4" x14ac:dyDescent="0.3">
      <c r="A257" s="1"/>
      <c r="B257"/>
      <c r="C257"/>
      <c r="D257"/>
      <c r="E257"/>
      <c r="F257"/>
      <c r="G257"/>
      <c r="H257"/>
      <c r="I257"/>
    </row>
    <row r="258" spans="1:9" ht="14.4" x14ac:dyDescent="0.3">
      <c r="A258" s="1"/>
      <c r="B258"/>
      <c r="C258"/>
      <c r="D258"/>
      <c r="E258"/>
      <c r="F258"/>
      <c r="G258"/>
      <c r="H258"/>
      <c r="I258"/>
    </row>
    <row r="259" spans="1:9" ht="14.4" x14ac:dyDescent="0.3">
      <c r="A259" s="1"/>
      <c r="B259"/>
      <c r="C259"/>
      <c r="D259"/>
      <c r="E259"/>
      <c r="F259"/>
      <c r="G259"/>
      <c r="H259"/>
      <c r="I259"/>
    </row>
    <row r="260" spans="1:9" ht="14.4" x14ac:dyDescent="0.3">
      <c r="A260" s="1"/>
      <c r="B260"/>
      <c r="C260"/>
      <c r="D260"/>
      <c r="E260"/>
      <c r="F260"/>
      <c r="G260"/>
      <c r="H260"/>
      <c r="I260"/>
    </row>
    <row r="261" spans="1:9" ht="14.4" x14ac:dyDescent="0.3">
      <c r="A261" s="1"/>
      <c r="B261"/>
      <c r="C261"/>
      <c r="D261"/>
      <c r="E261"/>
      <c r="F261"/>
      <c r="G261"/>
      <c r="H261"/>
      <c r="I261"/>
    </row>
    <row r="262" spans="1:9" ht="14.4" x14ac:dyDescent="0.3">
      <c r="A262" s="1"/>
      <c r="B262"/>
      <c r="C262"/>
      <c r="D262"/>
      <c r="E262"/>
      <c r="F262"/>
      <c r="G262"/>
      <c r="H262"/>
      <c r="I262"/>
    </row>
    <row r="263" spans="1:9" ht="14.4" x14ac:dyDescent="0.3">
      <c r="A263" s="1"/>
      <c r="B263"/>
      <c r="C263"/>
      <c r="D263"/>
      <c r="E263"/>
      <c r="F263"/>
      <c r="G263"/>
      <c r="H263"/>
      <c r="I263"/>
    </row>
    <row r="264" spans="1:9" ht="14.4" x14ac:dyDescent="0.3">
      <c r="A264" s="1"/>
      <c r="B264"/>
      <c r="C264"/>
      <c r="D264"/>
      <c r="E264"/>
      <c r="F264"/>
      <c r="G264"/>
      <c r="H264"/>
      <c r="I264"/>
    </row>
    <row r="265" spans="1:9" ht="14.4" x14ac:dyDescent="0.3">
      <c r="A265" s="1"/>
      <c r="B265"/>
      <c r="C265"/>
      <c r="D265"/>
      <c r="E265"/>
      <c r="F265"/>
      <c r="G265"/>
      <c r="H265"/>
      <c r="I265"/>
    </row>
    <row r="266" spans="1:9" ht="14.4" x14ac:dyDescent="0.3">
      <c r="A266" s="1"/>
      <c r="B266"/>
      <c r="C266"/>
      <c r="D266"/>
      <c r="E266"/>
      <c r="F266"/>
      <c r="G266"/>
      <c r="H266"/>
      <c r="I266"/>
    </row>
    <row r="267" spans="1:9" ht="14.4" x14ac:dyDescent="0.3">
      <c r="A267" s="1"/>
      <c r="B267"/>
      <c r="C267"/>
      <c r="D267"/>
      <c r="E267"/>
      <c r="F267"/>
      <c r="G267"/>
      <c r="H267"/>
      <c r="I267"/>
    </row>
    <row r="268" spans="1:9" ht="14.4" x14ac:dyDescent="0.3">
      <c r="A268" s="1"/>
      <c r="B268"/>
      <c r="C268"/>
      <c r="D268"/>
      <c r="E268"/>
      <c r="F268"/>
      <c r="G268"/>
      <c r="H268"/>
      <c r="I268"/>
    </row>
    <row r="269" spans="1:9" ht="14.4" x14ac:dyDescent="0.3">
      <c r="A269" s="1"/>
      <c r="B269"/>
      <c r="C269"/>
      <c r="D269"/>
      <c r="E269"/>
      <c r="F269"/>
      <c r="G269"/>
      <c r="H269"/>
      <c r="I269"/>
    </row>
    <row r="270" spans="1:9" ht="14.4" x14ac:dyDescent="0.3">
      <c r="A270" s="1"/>
      <c r="B270"/>
      <c r="C270"/>
      <c r="D270"/>
      <c r="E270"/>
      <c r="F270"/>
      <c r="G270"/>
      <c r="H270"/>
      <c r="I270"/>
    </row>
    <row r="271" spans="1:9" ht="14.4" x14ac:dyDescent="0.3">
      <c r="A271" s="1"/>
      <c r="B271"/>
      <c r="C271"/>
      <c r="D271"/>
      <c r="E271"/>
      <c r="F271"/>
      <c r="G271"/>
      <c r="H271"/>
      <c r="I271"/>
    </row>
    <row r="272" spans="1:9" ht="14.4" x14ac:dyDescent="0.3">
      <c r="A272" s="1"/>
      <c r="B272"/>
      <c r="C272"/>
      <c r="D272"/>
      <c r="E272"/>
      <c r="F272"/>
      <c r="G272"/>
      <c r="H272"/>
      <c r="I272"/>
    </row>
    <row r="273" spans="1:9" ht="14.4" x14ac:dyDescent="0.3">
      <c r="A273" s="1"/>
      <c r="B273"/>
      <c r="C273"/>
      <c r="D273"/>
      <c r="E273"/>
      <c r="F273"/>
      <c r="G273"/>
      <c r="H273"/>
      <c r="I273"/>
    </row>
    <row r="274" spans="1:9" ht="14.4" x14ac:dyDescent="0.3">
      <c r="A274" s="1"/>
      <c r="B274"/>
      <c r="C274"/>
      <c r="D274"/>
      <c r="E274"/>
      <c r="F274"/>
      <c r="G274"/>
      <c r="H274"/>
      <c r="I274"/>
    </row>
    <row r="275" spans="1:9" ht="14.4" x14ac:dyDescent="0.3">
      <c r="A275" s="1"/>
      <c r="B275"/>
      <c r="C275"/>
      <c r="D275"/>
      <c r="E275"/>
      <c r="F275"/>
      <c r="G275"/>
      <c r="H275"/>
      <c r="I275"/>
    </row>
    <row r="276" spans="1:9" ht="14.4" x14ac:dyDescent="0.3">
      <c r="A276" s="1"/>
      <c r="B276"/>
      <c r="C276"/>
      <c r="D276"/>
      <c r="E276"/>
      <c r="F276"/>
      <c r="G276"/>
      <c r="H276"/>
      <c r="I276"/>
    </row>
    <row r="277" spans="1:9" ht="14.4" x14ac:dyDescent="0.3">
      <c r="A277" s="1"/>
      <c r="B277"/>
      <c r="C277"/>
      <c r="D277"/>
      <c r="E277"/>
      <c r="F277"/>
      <c r="G277"/>
      <c r="H277"/>
      <c r="I277"/>
    </row>
    <row r="278" spans="1:9" ht="14.4" x14ac:dyDescent="0.3">
      <c r="A278" s="1"/>
      <c r="B278"/>
      <c r="C278"/>
      <c r="D278"/>
      <c r="E278"/>
      <c r="F278"/>
      <c r="G278"/>
      <c r="H278"/>
      <c r="I278"/>
    </row>
    <row r="279" spans="1:9" ht="14.4" x14ac:dyDescent="0.3">
      <c r="A279" s="1"/>
      <c r="B279"/>
      <c r="C279"/>
      <c r="D279"/>
      <c r="E279"/>
      <c r="F279"/>
      <c r="G279"/>
      <c r="H279"/>
      <c r="I279"/>
    </row>
    <row r="280" spans="1:9" ht="14.4" x14ac:dyDescent="0.3">
      <c r="A280" s="1"/>
      <c r="B280"/>
      <c r="C280"/>
      <c r="D280"/>
      <c r="E280"/>
      <c r="F280"/>
      <c r="G280"/>
      <c r="H280"/>
      <c r="I280"/>
    </row>
    <row r="281" spans="1:9" ht="14.4" x14ac:dyDescent="0.3">
      <c r="A281" s="1"/>
      <c r="B281"/>
      <c r="C281"/>
      <c r="D281"/>
      <c r="E281"/>
      <c r="F281"/>
      <c r="G281"/>
      <c r="H281"/>
      <c r="I281"/>
    </row>
    <row r="282" spans="1:9" ht="14.4" x14ac:dyDescent="0.3">
      <c r="A282" s="1"/>
      <c r="B282"/>
      <c r="C282"/>
      <c r="D282"/>
      <c r="E282"/>
      <c r="F282"/>
      <c r="G282"/>
      <c r="H282"/>
      <c r="I282"/>
    </row>
    <row r="283" spans="1:9" ht="14.4" x14ac:dyDescent="0.3">
      <c r="A283" s="1"/>
      <c r="B283"/>
      <c r="C283"/>
      <c r="D283"/>
      <c r="E283"/>
      <c r="F283"/>
      <c r="G283"/>
      <c r="H283"/>
      <c r="I283"/>
    </row>
    <row r="284" spans="1:9" ht="14.4" x14ac:dyDescent="0.3">
      <c r="A284" s="1"/>
      <c r="B284"/>
      <c r="C284"/>
      <c r="D284"/>
      <c r="E284"/>
      <c r="F284"/>
      <c r="G284"/>
      <c r="H284"/>
      <c r="I284"/>
    </row>
    <row r="285" spans="1:9" ht="14.4" x14ac:dyDescent="0.3">
      <c r="A285" s="1"/>
      <c r="B285"/>
      <c r="C285"/>
      <c r="D285"/>
      <c r="E285"/>
      <c r="F285"/>
      <c r="G285"/>
      <c r="H285"/>
      <c r="I285"/>
    </row>
    <row r="286" spans="1:9" ht="14.4" x14ac:dyDescent="0.3">
      <c r="A286" s="1"/>
      <c r="B286"/>
      <c r="C286"/>
      <c r="D286"/>
      <c r="E286"/>
      <c r="F286"/>
      <c r="G286"/>
      <c r="H286"/>
      <c r="I286"/>
    </row>
    <row r="287" spans="1:9" ht="14.4" x14ac:dyDescent="0.3">
      <c r="A287" s="1"/>
      <c r="B287"/>
      <c r="C287"/>
      <c r="D287"/>
      <c r="E287"/>
      <c r="F287"/>
      <c r="G287"/>
      <c r="H287"/>
      <c r="I287"/>
    </row>
    <row r="288" spans="1:9" ht="14.4" x14ac:dyDescent="0.3">
      <c r="A288" s="1"/>
      <c r="B288"/>
      <c r="C288"/>
      <c r="D288"/>
      <c r="E288"/>
      <c r="F288"/>
      <c r="G288"/>
      <c r="H288"/>
      <c r="I288"/>
    </row>
    <row r="289" spans="1:9" ht="14.4" x14ac:dyDescent="0.3">
      <c r="A289" s="1"/>
      <c r="B289"/>
      <c r="C289"/>
      <c r="D289"/>
      <c r="E289"/>
      <c r="F289"/>
      <c r="G289"/>
      <c r="H289"/>
      <c r="I289"/>
    </row>
    <row r="290" spans="1:9" ht="14.4" x14ac:dyDescent="0.3">
      <c r="A290" s="1"/>
      <c r="B290"/>
      <c r="C290"/>
      <c r="D290"/>
      <c r="E290"/>
      <c r="F290"/>
      <c r="G290"/>
      <c r="H290"/>
      <c r="I290"/>
    </row>
    <row r="291" spans="1:9" ht="14.4" x14ac:dyDescent="0.3">
      <c r="A291" s="1"/>
      <c r="B291"/>
      <c r="C291"/>
      <c r="D291"/>
      <c r="E291"/>
      <c r="F291"/>
      <c r="G291"/>
      <c r="H291"/>
      <c r="I291"/>
    </row>
    <row r="292" spans="1:9" ht="14.4" x14ac:dyDescent="0.3">
      <c r="A292" s="1"/>
      <c r="B292"/>
      <c r="C292"/>
      <c r="D292"/>
      <c r="E292"/>
      <c r="F292"/>
      <c r="G292"/>
      <c r="H292"/>
      <c r="I292"/>
    </row>
    <row r="293" spans="1:9" ht="14.4" x14ac:dyDescent="0.3">
      <c r="A293" s="1"/>
      <c r="B293"/>
      <c r="C293"/>
      <c r="D293"/>
      <c r="E293"/>
      <c r="F293"/>
      <c r="G293"/>
      <c r="H293"/>
      <c r="I293"/>
    </row>
    <row r="294" spans="1:9" ht="14.4" x14ac:dyDescent="0.3">
      <c r="A294" s="1"/>
      <c r="B294"/>
      <c r="C294"/>
      <c r="D294"/>
      <c r="E294"/>
      <c r="F294"/>
      <c r="G294"/>
      <c r="H294"/>
      <c r="I294"/>
    </row>
    <row r="295" spans="1:9" ht="14.4" x14ac:dyDescent="0.3">
      <c r="A295" s="1"/>
      <c r="B295"/>
      <c r="C295"/>
      <c r="D295"/>
      <c r="E295"/>
      <c r="F295"/>
      <c r="G295"/>
      <c r="H295"/>
      <c r="I295"/>
    </row>
    <row r="296" spans="1:9" ht="14.4" x14ac:dyDescent="0.3">
      <c r="A296" s="1"/>
      <c r="B296"/>
      <c r="C296"/>
      <c r="D296"/>
      <c r="E296"/>
      <c r="F296"/>
      <c r="G296"/>
      <c r="H296"/>
      <c r="I296"/>
    </row>
    <row r="297" spans="1:9" ht="14.4" x14ac:dyDescent="0.3">
      <c r="A297" s="1"/>
      <c r="B297"/>
      <c r="C297"/>
      <c r="D297"/>
      <c r="E297"/>
      <c r="F297"/>
      <c r="G297"/>
      <c r="H297"/>
      <c r="I297"/>
    </row>
    <row r="298" spans="1:9" ht="14.4" x14ac:dyDescent="0.3">
      <c r="A298" s="1"/>
      <c r="B298"/>
      <c r="C298"/>
      <c r="D298"/>
      <c r="E298"/>
      <c r="F298"/>
      <c r="G298"/>
      <c r="H298"/>
      <c r="I298"/>
    </row>
    <row r="299" spans="1:9" ht="14.4" x14ac:dyDescent="0.3">
      <c r="A299" s="1"/>
      <c r="B299"/>
      <c r="C299"/>
      <c r="D299"/>
      <c r="E299"/>
      <c r="F299"/>
      <c r="G299"/>
      <c r="H299"/>
      <c r="I299"/>
    </row>
    <row r="300" spans="1:9" ht="14.4" x14ac:dyDescent="0.3">
      <c r="A300" s="1"/>
      <c r="B300"/>
      <c r="C300"/>
      <c r="D300"/>
      <c r="E300"/>
      <c r="F300"/>
      <c r="G300"/>
      <c r="H300"/>
      <c r="I300"/>
    </row>
    <row r="301" spans="1:9" ht="14.4" x14ac:dyDescent="0.3">
      <c r="A301" s="1"/>
      <c r="B301"/>
      <c r="C301"/>
      <c r="D301"/>
      <c r="E301"/>
      <c r="F301"/>
      <c r="G301"/>
      <c r="H301"/>
      <c r="I301"/>
    </row>
    <row r="302" spans="1:9" ht="14.4" x14ac:dyDescent="0.3">
      <c r="A302" s="1"/>
      <c r="B302"/>
      <c r="C302"/>
      <c r="D302"/>
      <c r="E302"/>
      <c r="F302"/>
      <c r="G302"/>
      <c r="H302"/>
      <c r="I302"/>
    </row>
    <row r="303" spans="1:9" ht="14.4" x14ac:dyDescent="0.3">
      <c r="A303" s="1"/>
      <c r="B303"/>
      <c r="C303"/>
      <c r="D303"/>
      <c r="E303"/>
      <c r="F303"/>
      <c r="G303"/>
      <c r="H303"/>
      <c r="I303"/>
    </row>
    <row r="304" spans="1:9" ht="14.4" x14ac:dyDescent="0.3">
      <c r="A304" s="1"/>
      <c r="B304"/>
      <c r="C304"/>
      <c r="D304"/>
      <c r="E304"/>
      <c r="F304"/>
      <c r="G304"/>
      <c r="H304"/>
      <c r="I304"/>
    </row>
    <row r="305" spans="1:9" ht="14.4" x14ac:dyDescent="0.3">
      <c r="A305" s="1"/>
      <c r="B305"/>
      <c r="C305"/>
      <c r="D305"/>
      <c r="E305"/>
      <c r="F305"/>
      <c r="G305"/>
      <c r="H305"/>
      <c r="I305"/>
    </row>
    <row r="306" spans="1:9" ht="14.4" x14ac:dyDescent="0.3">
      <c r="A306" s="1"/>
      <c r="B306"/>
      <c r="C306"/>
      <c r="D306"/>
      <c r="E306"/>
      <c r="F306"/>
      <c r="G306"/>
      <c r="H306"/>
      <c r="I306"/>
    </row>
    <row r="307" spans="1:9" ht="14.4" x14ac:dyDescent="0.3">
      <c r="A307" s="1"/>
      <c r="B307"/>
      <c r="C307"/>
      <c r="D307"/>
      <c r="E307"/>
      <c r="F307"/>
      <c r="G307"/>
      <c r="H307"/>
      <c r="I307"/>
    </row>
    <row r="308" spans="1:9" ht="14.4" x14ac:dyDescent="0.3">
      <c r="A308" s="1"/>
      <c r="B308"/>
      <c r="C308"/>
      <c r="D308"/>
      <c r="E308"/>
      <c r="F308"/>
      <c r="G308"/>
      <c r="H308"/>
      <c r="I308"/>
    </row>
    <row r="309" spans="1:9" ht="14.4" x14ac:dyDescent="0.3">
      <c r="A309" s="1"/>
      <c r="B309"/>
      <c r="C309"/>
      <c r="D309"/>
      <c r="E309"/>
      <c r="F309"/>
      <c r="G309"/>
      <c r="H309"/>
      <c r="I309"/>
    </row>
    <row r="310" spans="1:9" ht="14.4" x14ac:dyDescent="0.3">
      <c r="A310" s="1"/>
      <c r="B310"/>
      <c r="C310"/>
      <c r="D310"/>
      <c r="E310"/>
      <c r="F310"/>
      <c r="G310"/>
      <c r="H310"/>
      <c r="I310"/>
    </row>
    <row r="311" spans="1:9" ht="14.4" x14ac:dyDescent="0.3">
      <c r="A311" s="1"/>
      <c r="B311"/>
      <c r="C311"/>
      <c r="D311"/>
      <c r="E311"/>
      <c r="F311"/>
      <c r="G311"/>
      <c r="H311"/>
      <c r="I311"/>
    </row>
    <row r="312" spans="1:9" ht="14.4" x14ac:dyDescent="0.3">
      <c r="A312" s="1"/>
      <c r="B312"/>
      <c r="C312"/>
      <c r="D312"/>
      <c r="E312"/>
      <c r="F312"/>
      <c r="G312"/>
      <c r="H312"/>
      <c r="I312"/>
    </row>
    <row r="313" spans="1:9" ht="14.4" x14ac:dyDescent="0.3">
      <c r="A313" s="1"/>
      <c r="B313"/>
      <c r="C313"/>
      <c r="D313"/>
      <c r="E313"/>
      <c r="F313"/>
      <c r="G313"/>
      <c r="H313"/>
      <c r="I313"/>
    </row>
    <row r="314" spans="1:9" ht="14.4" x14ac:dyDescent="0.3">
      <c r="A314" s="1"/>
      <c r="B314"/>
      <c r="C314"/>
      <c r="D314"/>
      <c r="E314"/>
      <c r="F314"/>
      <c r="G314"/>
      <c r="H314"/>
      <c r="I314"/>
    </row>
    <row r="315" spans="1:9" ht="14.4" x14ac:dyDescent="0.3">
      <c r="A315" s="1"/>
      <c r="B315"/>
      <c r="C315"/>
      <c r="D315"/>
      <c r="E315"/>
      <c r="F315"/>
      <c r="G315"/>
      <c r="H315"/>
      <c r="I315"/>
    </row>
    <row r="316" spans="1:9" ht="14.4" x14ac:dyDescent="0.3">
      <c r="A316" s="1"/>
      <c r="B316"/>
      <c r="C316"/>
      <c r="D316"/>
      <c r="E316"/>
      <c r="F316"/>
      <c r="G316"/>
      <c r="H316"/>
      <c r="I316"/>
    </row>
    <row r="317" spans="1:9" ht="14.4" x14ac:dyDescent="0.3">
      <c r="A317" s="1"/>
      <c r="B317"/>
      <c r="C317"/>
      <c r="D317"/>
      <c r="E317"/>
      <c r="F317"/>
      <c r="G317"/>
      <c r="H317"/>
      <c r="I317"/>
    </row>
    <row r="318" spans="1:9" ht="14.4" x14ac:dyDescent="0.3">
      <c r="A318" s="1"/>
      <c r="B318"/>
      <c r="C318"/>
      <c r="D318"/>
      <c r="E318"/>
      <c r="F318"/>
      <c r="G318"/>
      <c r="H318"/>
      <c r="I318"/>
    </row>
    <row r="319" spans="1:9" ht="14.4" x14ac:dyDescent="0.3">
      <c r="A319" s="1"/>
      <c r="B319"/>
      <c r="C319"/>
      <c r="D319"/>
      <c r="E319"/>
      <c r="F319"/>
      <c r="G319"/>
      <c r="H319"/>
      <c r="I319"/>
    </row>
    <row r="320" spans="1:9" ht="14.4" x14ac:dyDescent="0.3">
      <c r="A320" s="1"/>
      <c r="B320"/>
      <c r="C320"/>
      <c r="D320"/>
      <c r="E320"/>
      <c r="F320"/>
      <c r="G320"/>
      <c r="H320"/>
      <c r="I320"/>
    </row>
    <row r="321" spans="1:9" ht="14.4" x14ac:dyDescent="0.3">
      <c r="A321" s="1"/>
      <c r="B321"/>
      <c r="C321"/>
      <c r="D321"/>
      <c r="E321"/>
      <c r="F321"/>
      <c r="G321"/>
      <c r="H321"/>
      <c r="I321"/>
    </row>
    <row r="322" spans="1:9" ht="14.4" x14ac:dyDescent="0.3">
      <c r="A322" s="1"/>
      <c r="B322"/>
      <c r="C322"/>
      <c r="D322"/>
      <c r="E322"/>
      <c r="F322"/>
      <c r="G322"/>
      <c r="H322"/>
      <c r="I322"/>
    </row>
    <row r="323" spans="1:9" ht="14.4" x14ac:dyDescent="0.3">
      <c r="A323" s="1"/>
      <c r="B323"/>
      <c r="C323"/>
      <c r="D323"/>
      <c r="E323"/>
      <c r="F323"/>
      <c r="G323"/>
      <c r="H323"/>
      <c r="I323"/>
    </row>
    <row r="324" spans="1:9" ht="14.4" x14ac:dyDescent="0.3">
      <c r="A324" s="1"/>
      <c r="B324"/>
      <c r="C324"/>
      <c r="D324"/>
      <c r="E324"/>
      <c r="F324"/>
      <c r="G324"/>
      <c r="H324"/>
      <c r="I324"/>
    </row>
    <row r="325" spans="1:9" ht="14.4" x14ac:dyDescent="0.3">
      <c r="A325" s="1"/>
      <c r="B325"/>
      <c r="C325"/>
      <c r="D325"/>
      <c r="E325"/>
      <c r="F325"/>
      <c r="G325"/>
      <c r="H325"/>
      <c r="I325"/>
    </row>
    <row r="326" spans="1:9" ht="14.4" x14ac:dyDescent="0.3">
      <c r="A326" s="1"/>
      <c r="B326"/>
      <c r="C326"/>
      <c r="D326"/>
      <c r="E326"/>
      <c r="F326"/>
      <c r="G326"/>
      <c r="H326"/>
      <c r="I326"/>
    </row>
    <row r="327" spans="1:9" ht="14.4" x14ac:dyDescent="0.3">
      <c r="A327" s="1"/>
      <c r="B327"/>
      <c r="C327"/>
      <c r="D327"/>
      <c r="E327"/>
      <c r="F327"/>
      <c r="G327"/>
      <c r="H327"/>
      <c r="I327"/>
    </row>
    <row r="328" spans="1:9" ht="14.4" x14ac:dyDescent="0.3">
      <c r="A328" s="1"/>
      <c r="B328"/>
      <c r="C328"/>
      <c r="D328"/>
      <c r="E328"/>
      <c r="F328"/>
      <c r="G328"/>
      <c r="H328"/>
      <c r="I328"/>
    </row>
    <row r="329" spans="1:9" ht="14.4" x14ac:dyDescent="0.3">
      <c r="A329" s="1"/>
      <c r="B329"/>
      <c r="C329"/>
      <c r="D329"/>
      <c r="E329"/>
      <c r="F329"/>
      <c r="G329"/>
      <c r="H329"/>
      <c r="I329"/>
    </row>
    <row r="330" spans="1:9" ht="14.4" x14ac:dyDescent="0.3">
      <c r="A330" s="1"/>
      <c r="B330"/>
      <c r="C330"/>
      <c r="D330"/>
      <c r="E330"/>
      <c r="F330"/>
      <c r="G330"/>
      <c r="H330"/>
      <c r="I330"/>
    </row>
    <row r="331" spans="1:9" ht="14.4" x14ac:dyDescent="0.3">
      <c r="A331" s="1"/>
      <c r="B331"/>
      <c r="C331"/>
      <c r="D331"/>
      <c r="E331"/>
      <c r="F331"/>
      <c r="G331"/>
      <c r="H331"/>
      <c r="I331"/>
    </row>
    <row r="332" spans="1:9" ht="14.4" x14ac:dyDescent="0.3">
      <c r="A332" s="1"/>
      <c r="B332"/>
      <c r="C332"/>
      <c r="D332"/>
      <c r="E332"/>
      <c r="F332"/>
      <c r="G332"/>
      <c r="H332"/>
      <c r="I332"/>
    </row>
    <row r="333" spans="1:9" ht="14.4" x14ac:dyDescent="0.3">
      <c r="A333" s="1"/>
      <c r="B333"/>
      <c r="C333"/>
      <c r="D333"/>
      <c r="E333"/>
      <c r="F333"/>
      <c r="G333"/>
      <c r="H333"/>
      <c r="I333"/>
    </row>
    <row r="334" spans="1:9" ht="14.4" x14ac:dyDescent="0.3">
      <c r="A334" s="1"/>
      <c r="B334"/>
      <c r="C334"/>
      <c r="D334"/>
      <c r="E334"/>
      <c r="F334"/>
      <c r="G334"/>
      <c r="H334"/>
      <c r="I334"/>
    </row>
    <row r="335" spans="1:9" ht="14.4" x14ac:dyDescent="0.3">
      <c r="A335" s="1"/>
      <c r="B335"/>
      <c r="C335"/>
      <c r="D335"/>
      <c r="E335"/>
      <c r="F335"/>
      <c r="G335"/>
      <c r="H335"/>
      <c r="I335"/>
    </row>
    <row r="336" spans="1:9" ht="14.4" x14ac:dyDescent="0.3">
      <c r="A336" s="1"/>
      <c r="B336"/>
      <c r="C336"/>
      <c r="D336"/>
      <c r="E336"/>
      <c r="F336"/>
      <c r="G336"/>
      <c r="H336"/>
      <c r="I336"/>
    </row>
    <row r="337" spans="1:9" ht="14.4" x14ac:dyDescent="0.3">
      <c r="A337" s="1"/>
      <c r="B337"/>
      <c r="C337"/>
      <c r="D337"/>
      <c r="E337"/>
      <c r="F337"/>
      <c r="G337"/>
      <c r="H337"/>
      <c r="I337"/>
    </row>
    <row r="338" spans="1:9" ht="14.4" x14ac:dyDescent="0.3">
      <c r="A338" s="1"/>
      <c r="B338"/>
      <c r="C338"/>
      <c r="D338"/>
      <c r="E338"/>
      <c r="F338"/>
      <c r="G338"/>
      <c r="H338"/>
      <c r="I338"/>
    </row>
    <row r="339" spans="1:9" ht="14.4" x14ac:dyDescent="0.3">
      <c r="A339" s="1"/>
      <c r="B339"/>
      <c r="C339"/>
      <c r="D339"/>
      <c r="E339"/>
      <c r="F339"/>
      <c r="G339"/>
      <c r="H339"/>
      <c r="I339"/>
    </row>
    <row r="340" spans="1:9" ht="14.4" x14ac:dyDescent="0.3">
      <c r="A340" s="1"/>
      <c r="B340"/>
      <c r="C340"/>
      <c r="D340"/>
      <c r="E340"/>
      <c r="F340"/>
      <c r="G340"/>
      <c r="H340"/>
      <c r="I340"/>
    </row>
    <row r="341" spans="1:9" ht="14.4" x14ac:dyDescent="0.3">
      <c r="A341" s="1"/>
      <c r="B341"/>
      <c r="C341"/>
      <c r="D341"/>
      <c r="E341"/>
      <c r="F341"/>
      <c r="G341"/>
      <c r="H341"/>
      <c r="I341"/>
    </row>
    <row r="342" spans="1:9" ht="14.4" x14ac:dyDescent="0.3">
      <c r="A342" s="1"/>
      <c r="B342"/>
      <c r="C342"/>
      <c r="D342"/>
      <c r="E342"/>
      <c r="F342"/>
      <c r="G342"/>
      <c r="H342"/>
      <c r="I342"/>
    </row>
    <row r="343" spans="1:9" ht="14.4" x14ac:dyDescent="0.3">
      <c r="A343" s="1"/>
      <c r="B343"/>
      <c r="C343"/>
      <c r="D343"/>
      <c r="E343"/>
      <c r="F343"/>
      <c r="G343"/>
      <c r="H343"/>
      <c r="I343"/>
    </row>
    <row r="344" spans="1:9" ht="14.4" x14ac:dyDescent="0.3">
      <c r="A344" s="1"/>
      <c r="B344"/>
      <c r="C344"/>
      <c r="D344"/>
      <c r="E344"/>
      <c r="F344"/>
      <c r="G344"/>
      <c r="H344"/>
      <c r="I344"/>
    </row>
    <row r="345" spans="1:9" ht="14.4" x14ac:dyDescent="0.3">
      <c r="A345" s="1"/>
      <c r="B345"/>
      <c r="C345"/>
      <c r="D345"/>
      <c r="E345"/>
      <c r="F345"/>
      <c r="G345"/>
      <c r="H345"/>
      <c r="I345"/>
    </row>
    <row r="346" spans="1:9" ht="14.4" x14ac:dyDescent="0.3">
      <c r="A346" s="1"/>
      <c r="B346"/>
      <c r="C346"/>
      <c r="D346"/>
      <c r="E346"/>
      <c r="F346"/>
      <c r="G346"/>
      <c r="H346"/>
      <c r="I346"/>
    </row>
    <row r="347" spans="1:9" ht="14.4" x14ac:dyDescent="0.3">
      <c r="A347" s="1"/>
      <c r="B347"/>
      <c r="C347"/>
      <c r="D347"/>
      <c r="E347"/>
      <c r="F347"/>
      <c r="G347"/>
      <c r="H347"/>
      <c r="I347"/>
    </row>
    <row r="348" spans="1:9" ht="14.4" x14ac:dyDescent="0.3">
      <c r="A348" s="1"/>
      <c r="B348"/>
      <c r="C348"/>
      <c r="D348"/>
      <c r="E348"/>
      <c r="F348"/>
      <c r="G348"/>
      <c r="H348"/>
      <c r="I348"/>
    </row>
    <row r="349" spans="1:9" ht="14.4" x14ac:dyDescent="0.3">
      <c r="A349" s="1"/>
      <c r="B349"/>
      <c r="C349"/>
      <c r="D349"/>
      <c r="E349"/>
      <c r="F349"/>
      <c r="G349"/>
      <c r="H349"/>
      <c r="I349"/>
    </row>
    <row r="350" spans="1:9" ht="14.4" x14ac:dyDescent="0.3">
      <c r="A350" s="1"/>
      <c r="B350"/>
      <c r="C350"/>
      <c r="D350"/>
      <c r="E350"/>
      <c r="F350"/>
      <c r="G350"/>
      <c r="H350"/>
      <c r="I350"/>
    </row>
    <row r="351" spans="1:9" ht="14.4" x14ac:dyDescent="0.3">
      <c r="A351" s="1"/>
      <c r="B351"/>
      <c r="C351"/>
      <c r="D351"/>
      <c r="E351"/>
      <c r="F351"/>
      <c r="G351"/>
      <c r="H351"/>
      <c r="I351"/>
    </row>
    <row r="352" spans="1:9" ht="14.4" x14ac:dyDescent="0.3">
      <c r="A352" s="1"/>
      <c r="B352"/>
      <c r="C352"/>
      <c r="D352"/>
      <c r="E352"/>
      <c r="F352"/>
      <c r="G352"/>
      <c r="H352"/>
      <c r="I352"/>
    </row>
    <row r="353" spans="1:9" ht="14.4" x14ac:dyDescent="0.3">
      <c r="A353" s="1"/>
      <c r="B353"/>
      <c r="C353"/>
      <c r="D353"/>
      <c r="E353"/>
      <c r="F353"/>
      <c r="G353"/>
      <c r="H353"/>
      <c r="I353"/>
    </row>
    <row r="354" spans="1:9" ht="14.4" x14ac:dyDescent="0.3">
      <c r="A354" s="1"/>
      <c r="B354"/>
      <c r="C354"/>
      <c r="D354"/>
      <c r="E354"/>
      <c r="F354"/>
      <c r="G354"/>
      <c r="H354"/>
      <c r="I354"/>
    </row>
    <row r="355" spans="1:9" ht="14.4" x14ac:dyDescent="0.3">
      <c r="A355" s="1"/>
      <c r="B355"/>
      <c r="C355"/>
      <c r="D355"/>
      <c r="E355"/>
      <c r="F355"/>
      <c r="G355"/>
      <c r="H355"/>
      <c r="I355"/>
    </row>
    <row r="356" spans="1:9" ht="14.4" x14ac:dyDescent="0.3">
      <c r="A356" s="1"/>
      <c r="B356"/>
      <c r="C356"/>
      <c r="D356"/>
      <c r="E356"/>
      <c r="F356"/>
      <c r="G356"/>
      <c r="H356"/>
      <c r="I356"/>
    </row>
    <row r="357" spans="1:9" ht="14.4" x14ac:dyDescent="0.3">
      <c r="A357" s="1"/>
      <c r="B357"/>
      <c r="C357"/>
      <c r="D357"/>
      <c r="E357"/>
      <c r="F357"/>
      <c r="G357"/>
      <c r="H357"/>
      <c r="I357"/>
    </row>
    <row r="358" spans="1:9" ht="14.4" x14ac:dyDescent="0.3">
      <c r="A358" s="1"/>
      <c r="B358"/>
      <c r="C358"/>
      <c r="D358"/>
      <c r="E358"/>
      <c r="F358"/>
      <c r="G358"/>
      <c r="H358"/>
      <c r="I358"/>
    </row>
    <row r="359" spans="1:9" ht="14.4" x14ac:dyDescent="0.3">
      <c r="A359" s="1"/>
      <c r="B359"/>
      <c r="C359"/>
      <c r="D359"/>
      <c r="E359"/>
      <c r="F359"/>
      <c r="G359"/>
      <c r="H359"/>
      <c r="I359"/>
    </row>
    <row r="360" spans="1:9" ht="14.4" x14ac:dyDescent="0.3">
      <c r="A360" s="1"/>
      <c r="B360"/>
      <c r="C360"/>
      <c r="D360"/>
      <c r="E360"/>
      <c r="F360"/>
      <c r="G360"/>
      <c r="H360"/>
      <c r="I360"/>
    </row>
    <row r="361" spans="1:9" ht="14.4" x14ac:dyDescent="0.3">
      <c r="A361" s="1"/>
      <c r="B361"/>
      <c r="C361"/>
      <c r="D361"/>
      <c r="E361"/>
      <c r="F361"/>
      <c r="G361"/>
      <c r="H361"/>
      <c r="I361"/>
    </row>
    <row r="362" spans="1:9" ht="14.4" x14ac:dyDescent="0.3">
      <c r="A362" s="1"/>
      <c r="B362"/>
      <c r="C362"/>
      <c r="D362"/>
      <c r="E362"/>
      <c r="F362"/>
      <c r="G362"/>
      <c r="H362"/>
      <c r="I362"/>
    </row>
    <row r="363" spans="1:9" ht="14.4" x14ac:dyDescent="0.3">
      <c r="A363" s="1"/>
      <c r="B363"/>
      <c r="C363"/>
      <c r="D363"/>
      <c r="E363"/>
      <c r="F363"/>
      <c r="G363"/>
      <c r="H363"/>
      <c r="I363"/>
    </row>
    <row r="364" spans="1:9" ht="14.4" x14ac:dyDescent="0.3">
      <c r="A364" s="1"/>
      <c r="B364"/>
      <c r="C364"/>
      <c r="D364"/>
      <c r="E364"/>
      <c r="F364"/>
      <c r="G364"/>
      <c r="H364"/>
      <c r="I364"/>
    </row>
    <row r="365" spans="1:9" ht="14.4" x14ac:dyDescent="0.3">
      <c r="A365" s="1"/>
      <c r="B365"/>
      <c r="C365"/>
      <c r="D365"/>
      <c r="E365"/>
      <c r="F365"/>
      <c r="G365"/>
      <c r="H365"/>
      <c r="I365"/>
    </row>
    <row r="366" spans="1:9" ht="14.4" x14ac:dyDescent="0.3">
      <c r="A366" s="1"/>
      <c r="B366"/>
      <c r="C366"/>
      <c r="D366"/>
      <c r="E366"/>
      <c r="F366"/>
      <c r="G366"/>
      <c r="H366"/>
      <c r="I366"/>
    </row>
    <row r="367" spans="1:9" ht="14.4" x14ac:dyDescent="0.3">
      <c r="A367" s="1"/>
      <c r="B367"/>
      <c r="C367"/>
      <c r="D367"/>
      <c r="E367"/>
      <c r="F367"/>
      <c r="G367"/>
      <c r="H367"/>
      <c r="I367"/>
    </row>
    <row r="368" spans="1:9" ht="14.4" x14ac:dyDescent="0.3">
      <c r="A368" s="1"/>
      <c r="B368"/>
      <c r="C368"/>
      <c r="D368"/>
      <c r="E368"/>
      <c r="F368"/>
      <c r="G368"/>
      <c r="H368"/>
      <c r="I368"/>
    </row>
  </sheetData>
  <conditionalFormatting sqref="A3:A80 D3:D80">
    <cfRule type="containsBlanks" dxfId="15" priority="18">
      <formula>LEN(TRIM(A3))=0</formula>
    </cfRule>
  </conditionalFormatting>
  <conditionalFormatting sqref="B3:B80">
    <cfRule type="containsText" dxfId="14" priority="16" operator="containsText" text="Office">
      <formula>NOT(ISERROR(SEARCH("Office",B3)))</formula>
    </cfRule>
  </conditionalFormatting>
  <conditionalFormatting sqref="C3:C80">
    <cfRule type="containsText" dxfId="13" priority="15" operator="containsText" text="ON,">
      <formula>NOT(ISERROR(SEARCH("ON,",C3)))</formula>
    </cfRule>
  </conditionalFormatting>
  <conditionalFormatting sqref="E3:E80">
    <cfRule type="containsText" dxfId="12" priority="13" operator="containsText" text="T">
      <formula>NOT(ISERROR(SEARCH("T",E3)))</formula>
    </cfRule>
  </conditionalFormatting>
  <conditionalFormatting sqref="F3">
    <cfRule type="containsBlanks" dxfId="11" priority="23">
      <formula>LEN(TRIM(F3))=0</formula>
    </cfRule>
  </conditionalFormatting>
  <conditionalFormatting sqref="F4:F80">
    <cfRule type="containsText" dxfId="10" priority="1" operator="containsText" text="ye@">
      <formula>NOT(ISERROR(SEARCH("ye@",F4)))</formula>
    </cfRule>
    <cfRule type="containsText" dxfId="9" priority="4" operator="containsText" text="eq1@livingproperties.com">
      <formula>NOT(ISERROR(SEARCH("eq1@livingproperties.com",F4)))</formula>
    </cfRule>
    <cfRule type="containsText" dxfId="8" priority="26" operator="containsText" text="office">
      <formula>NOT(ISERROR(SEARCH("office",F4)))</formula>
    </cfRule>
    <cfRule type="containsText" dxfId="7" priority="27" operator="containsText" text="realestate@ihmg.ca">
      <formula>NOT(ISERROR(SEARCH("realestate@ihmg.ca",F4)))</formula>
    </cfRule>
    <cfRule type="containsText" dxfId="6" priority="28" operator="containsText" text="info">
      <formula>NOT(ISERROR(SEARCH("info",F4)))</formula>
    </cfRule>
    <cfRule type="beginsWith" dxfId="5" priority="29" operator="beginsWith" text="kingsquare">
      <formula>LEFT(F4,LEN("kingsquare"))="kingsquare"</formula>
    </cfRule>
    <cfRule type="containsText" dxfId="4" priority="30" operator="containsText" text="yb@">
      <formula>NOT(ISERROR(SEARCH("yb@",F4)))</formula>
    </cfRule>
    <cfRule type="containsText" dxfId="3" priority="31" operator="containsText" text="miss">
      <formula>NOT(ISERROR(SEARCH("miss",F4)))</formula>
    </cfRule>
    <cfRule type="containsText" dxfId="2" priority="32" operator="containsText" text="north">
      <formula>NOT(ISERROR(SEARCH("north",F4)))</formula>
    </cfRule>
    <cfRule type="containsText" dxfId="1" priority="34" operator="containsText" text="woodbine">
      <formula>NOT(ISERROR(SEARCH("woodbine",F4)))</formula>
    </cfRule>
    <cfRule type="containsBlanks" dxfId="0" priority="37">
      <formula>LEN(TRIM(F4))=0</formula>
    </cfRule>
  </conditionalFormatting>
  <printOptions horizontalCentered="1"/>
  <pageMargins left="0.11811023622047245" right="0.11811023622047245" top="0.39370078740157483" bottom="0" header="0" footer="0"/>
  <pageSetup paperSize="5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BD61-A264-4E77-BA12-BABDDFA736C5}">
  <dimension ref="A1:M85"/>
  <sheetViews>
    <sheetView topLeftCell="A17" workbookViewId="0">
      <selection activeCell="G25" sqref="G25"/>
    </sheetView>
  </sheetViews>
  <sheetFormatPr defaultRowHeight="14.4" x14ac:dyDescent="0.3"/>
  <cols>
    <col min="1" max="1" width="13.88671875" customWidth="1"/>
    <col min="2" max="2" width="12.44140625" customWidth="1"/>
    <col min="3" max="4" width="13.109375" customWidth="1"/>
    <col min="5" max="5" width="26.88671875" customWidth="1"/>
    <col min="6" max="6" width="11.33203125" customWidth="1"/>
    <col min="7" max="7" width="66.5546875" customWidth="1"/>
    <col min="8" max="8" width="6.33203125" customWidth="1"/>
    <col min="9" max="9" width="16.33203125" customWidth="1"/>
    <col min="10" max="10" width="16.6640625" customWidth="1"/>
    <col min="11" max="11" width="34.6640625" customWidth="1"/>
    <col min="12" max="12" width="16.6640625" customWidth="1"/>
    <col min="13" max="13" width="98.33203125" customWidth="1"/>
  </cols>
  <sheetData>
    <row r="1" spans="1:13" x14ac:dyDescent="0.3">
      <c r="A1" t="s">
        <v>165</v>
      </c>
      <c r="B1" t="s">
        <v>166</v>
      </c>
      <c r="C1" t="s">
        <v>167</v>
      </c>
      <c r="D1" t="s">
        <v>201</v>
      </c>
      <c r="E1" t="s">
        <v>168</v>
      </c>
      <c r="F1" t="s">
        <v>284</v>
      </c>
      <c r="G1" t="s">
        <v>149</v>
      </c>
      <c r="H1" t="s">
        <v>1</v>
      </c>
      <c r="I1" t="s">
        <v>169</v>
      </c>
      <c r="J1" t="s">
        <v>170</v>
      </c>
      <c r="K1" t="s">
        <v>5</v>
      </c>
      <c r="L1" t="s">
        <v>176</v>
      </c>
      <c r="M1" t="s">
        <v>192</v>
      </c>
    </row>
    <row r="2" spans="1:13" x14ac:dyDescent="0.3">
      <c r="A2" s="5">
        <v>1</v>
      </c>
      <c r="B2" t="s">
        <v>179</v>
      </c>
      <c r="C2" t="s">
        <v>171</v>
      </c>
      <c r="D2">
        <v>1</v>
      </c>
      <c r="E2" t="s">
        <v>8</v>
      </c>
      <c r="G2" t="s">
        <v>9</v>
      </c>
      <c r="H2" s="6" t="s">
        <v>195</v>
      </c>
      <c r="I2" s="6" t="s">
        <v>195</v>
      </c>
      <c r="J2" t="s">
        <v>10</v>
      </c>
      <c r="K2" s="12" t="s">
        <v>195</v>
      </c>
      <c r="L2" t="s">
        <v>158</v>
      </c>
      <c r="M2" t="str">
        <f t="shared" ref="M2:M31" si="0">"INSERT INTO `directory` (`order`, `office`, `displayname`, `title`, `ext`, `personalTel`, `directTel`, `email`, `contacttype`)  VALUES ('" &amp; A2 &amp; "','" &amp; D2 &amp; "','" &amp; E2 &amp; "','" &amp; G2 &amp; "','" &amp; H2 &amp; "','" &amp; I2 &amp;  "','" &amp; J2 &amp;  "','" &amp; K2 &amp;  "','" &amp; L2 &amp; "');"</f>
        <v>INSERT INTO `directory` (`order`, `office`, `displayname`, `title`, `ext`, `personalTel`, `directTel`, `email`, `contacttype`)  VALUES ('1','1','LRI Head Office','8 Steelcase Road West, Markham, ON, L3R 1B2','--','--','T: (905) 474-0590','--','Office Header');</v>
      </c>
    </row>
    <row r="3" spans="1:13" x14ac:dyDescent="0.3">
      <c r="A3" s="5">
        <v>2</v>
      </c>
      <c r="B3" t="s">
        <v>179</v>
      </c>
      <c r="C3" t="s">
        <v>171</v>
      </c>
      <c r="D3">
        <v>1</v>
      </c>
      <c r="E3" t="s">
        <v>11</v>
      </c>
      <c r="F3" t="s">
        <v>285</v>
      </c>
      <c r="G3" t="s">
        <v>12</v>
      </c>
      <c r="H3">
        <v>500</v>
      </c>
      <c r="I3" s="6" t="s">
        <v>13</v>
      </c>
      <c r="J3" s="6" t="s">
        <v>196</v>
      </c>
      <c r="K3" s="4" t="s">
        <v>159</v>
      </c>
      <c r="L3" t="s">
        <v>160</v>
      </c>
      <c r="M3" t="str">
        <f t="shared" si="0"/>
        <v>INSERT INTO `directory` (`order`, `office`, `displayname`, `title`, `ext`, `personalTel`, `directTel`, `email`, `contacttype`)  VALUES ('2','1','Stephen Wong','Chairman','500','---','(905) 752-3500','stephenwong@livinggroupinc.com','Staff');</v>
      </c>
    </row>
    <row r="4" spans="1:13" x14ac:dyDescent="0.3">
      <c r="A4" s="5">
        <v>3</v>
      </c>
      <c r="B4" t="s">
        <v>179</v>
      </c>
      <c r="C4" t="s">
        <v>171</v>
      </c>
      <c r="D4">
        <v>1</v>
      </c>
      <c r="E4" t="s">
        <v>14</v>
      </c>
      <c r="F4" t="s">
        <v>285</v>
      </c>
      <c r="G4" t="s">
        <v>15</v>
      </c>
      <c r="H4">
        <v>511</v>
      </c>
      <c r="I4" t="s">
        <v>16</v>
      </c>
      <c r="J4" t="s">
        <v>197</v>
      </c>
      <c r="K4" s="4" t="s">
        <v>150</v>
      </c>
      <c r="L4" t="s">
        <v>160</v>
      </c>
      <c r="M4" t="str">
        <f t="shared" si="0"/>
        <v>INSERT INTO `directory` (`order`, `office`, `displayname`, `title`, `ext`, `personalTel`, `directTel`, `email`, `contacttype`)  VALUES ('3','1','William Lau','President','511','(647) 918-9886','(905) 752-3511','williamlau@livinggroupinc.com','Staff');</v>
      </c>
    </row>
    <row r="5" spans="1:13" x14ac:dyDescent="0.3">
      <c r="A5" s="5">
        <v>4</v>
      </c>
      <c r="B5" t="s">
        <v>179</v>
      </c>
      <c r="C5" t="s">
        <v>171</v>
      </c>
      <c r="D5">
        <v>1</v>
      </c>
      <c r="E5" t="s">
        <v>17</v>
      </c>
      <c r="F5" t="s">
        <v>285</v>
      </c>
      <c r="G5" t="s">
        <v>238</v>
      </c>
      <c r="H5">
        <v>228</v>
      </c>
      <c r="I5" t="s">
        <v>18</v>
      </c>
      <c r="J5" s="6" t="s">
        <v>13</v>
      </c>
      <c r="K5" s="4" t="s">
        <v>237</v>
      </c>
      <c r="L5" t="s">
        <v>160</v>
      </c>
      <c r="M5" t="str">
        <f t="shared" si="0"/>
        <v>INSERT INTO `directory` (`order`, `office`, `displayname`, `title`, `ext`, `personalTel`, `directTel`, `email`, `contacttype`)  VALUES ('4','1','Kelvin Wong','Broker of Record, Operating Principal','228','(416) 567-7882','---','kelvin@livingrealtykw.com','Staff');</v>
      </c>
    </row>
    <row r="6" spans="1:13" x14ac:dyDescent="0.3">
      <c r="A6" s="5">
        <v>5</v>
      </c>
      <c r="B6" t="s">
        <v>179</v>
      </c>
      <c r="C6" t="s">
        <v>171</v>
      </c>
      <c r="D6">
        <v>1</v>
      </c>
      <c r="E6" t="s">
        <v>208</v>
      </c>
      <c r="F6" t="s">
        <v>285</v>
      </c>
      <c r="G6" t="s">
        <v>239</v>
      </c>
      <c r="H6">
        <v>521</v>
      </c>
      <c r="I6" t="s">
        <v>24</v>
      </c>
      <c r="J6" t="s">
        <v>25</v>
      </c>
      <c r="K6" s="4" t="s">
        <v>245</v>
      </c>
      <c r="L6" t="s">
        <v>160</v>
      </c>
      <c r="M6" t="str">
        <f t="shared" ref="M6:M7" si="1">"INSERT INTO `directory` (`order`, `office`, `displayname`, `title`, `ext`, `personalTel`, `directTel`, `email`, `contacttype`)  VALUES ('" &amp; A6 &amp; "','" &amp; D6 &amp; "','" &amp; E6 &amp; "','" &amp; G6 &amp; "','" &amp; H6 &amp; "','" &amp; I6 &amp;  "','" &amp; J6 &amp;  "','" &amp; K6 &amp;  "','" &amp; L6 &amp; "');"</f>
        <v>INSERT INTO `directory` (`order`, `office`, `displayname`, `title`, `ext`, `personalTel`, `directTel`, `email`, `contacttype`)  VALUES ('5','1','Ben Wong','President &amp; C.L.O.','521','(416) 399-2311','(905) 752-3521','benwong@livingrealtykw.com','Staff');</v>
      </c>
    </row>
    <row r="7" spans="1:13" x14ac:dyDescent="0.3">
      <c r="A7" s="5">
        <v>6</v>
      </c>
      <c r="B7" t="s">
        <v>179</v>
      </c>
      <c r="C7" t="s">
        <v>171</v>
      </c>
      <c r="D7">
        <v>1</v>
      </c>
      <c r="E7" t="s">
        <v>20</v>
      </c>
      <c r="F7" t="s">
        <v>285</v>
      </c>
      <c r="G7" t="s">
        <v>21</v>
      </c>
      <c r="H7">
        <v>165</v>
      </c>
      <c r="I7" t="s">
        <v>22</v>
      </c>
      <c r="J7" t="s">
        <v>154</v>
      </c>
      <c r="K7" s="4" t="s">
        <v>242</v>
      </c>
      <c r="L7" t="s">
        <v>160</v>
      </c>
      <c r="M7" t="str">
        <f t="shared" si="1"/>
        <v>INSERT INTO `directory` (`order`, `office`, `displayname`, `title`, `ext`, `personalTel`, `directTel`, `email`, `contacttype`)  VALUES ('6','1','David Wong','Vice President','165','(416) 230-8866','(905) 752-3176','davidwong@livingrealtykw.com','Staff');</v>
      </c>
    </row>
    <row r="8" spans="1:13" x14ac:dyDescent="0.3">
      <c r="A8" s="5">
        <v>7</v>
      </c>
      <c r="B8" t="s">
        <v>179</v>
      </c>
      <c r="C8" t="s">
        <v>171</v>
      </c>
      <c r="D8">
        <v>1</v>
      </c>
      <c r="E8" t="s">
        <v>27</v>
      </c>
      <c r="F8" t="s">
        <v>285</v>
      </c>
      <c r="G8" t="s">
        <v>263</v>
      </c>
      <c r="H8">
        <v>502</v>
      </c>
      <c r="I8" t="s">
        <v>28</v>
      </c>
      <c r="J8" t="s">
        <v>29</v>
      </c>
      <c r="K8" t="s">
        <v>151</v>
      </c>
      <c r="L8" t="s">
        <v>160</v>
      </c>
      <c r="M8" t="str">
        <f t="shared" si="0"/>
        <v>INSERT INTO `directory` (`order`, `office`, `displayname`, `title`, `ext`, `personalTel`, `directTel`, `email`, `contacttype`)  VALUES ('7','1','Peter Woo','Broker of Record, Living Realty','502','(416) 569-6569','(905) 752-3502','pwoo@livinggroupinc.com','Staff');</v>
      </c>
    </row>
    <row r="9" spans="1:13" x14ac:dyDescent="0.3">
      <c r="A9" s="5">
        <v>8</v>
      </c>
      <c r="B9" t="s">
        <v>179</v>
      </c>
      <c r="C9" t="s">
        <v>171</v>
      </c>
      <c r="D9">
        <v>1</v>
      </c>
      <c r="E9" t="s">
        <v>198</v>
      </c>
      <c r="F9" t="s">
        <v>285</v>
      </c>
      <c r="G9" t="s">
        <v>240</v>
      </c>
      <c r="H9" s="6" t="s">
        <v>13</v>
      </c>
      <c r="I9" t="s">
        <v>199</v>
      </c>
      <c r="J9" s="6" t="s">
        <v>13</v>
      </c>
      <c r="K9" s="4" t="s">
        <v>243</v>
      </c>
      <c r="L9" t="s">
        <v>160</v>
      </c>
      <c r="M9" t="str">
        <f t="shared" si="0"/>
        <v>INSERT INTO `directory` (`order`, `office`, `displayname`, `title`, `ext`, `personalTel`, `directTel`, `email`, `contacttype`)  VALUES ('8','1','Alan Cheung','Vice Presidnet, New Homes, Broker','---','(416) 669-0325','---','alancheung@livingrealtykw.com','Staff');</v>
      </c>
    </row>
    <row r="10" spans="1:13" x14ac:dyDescent="0.3">
      <c r="A10" s="5">
        <v>9</v>
      </c>
      <c r="B10" t="s">
        <v>179</v>
      </c>
      <c r="C10" t="s">
        <v>171</v>
      </c>
      <c r="D10">
        <v>1</v>
      </c>
      <c r="E10" t="s">
        <v>64</v>
      </c>
      <c r="F10" t="s">
        <v>285</v>
      </c>
      <c r="G10" t="s">
        <v>287</v>
      </c>
      <c r="H10" s="6" t="s">
        <v>13</v>
      </c>
      <c r="I10" t="s">
        <v>65</v>
      </c>
      <c r="J10" s="6" t="s">
        <v>13</v>
      </c>
      <c r="K10" s="4" t="s">
        <v>256</v>
      </c>
      <c r="L10" t="s">
        <v>160</v>
      </c>
      <c r="M10" t="str">
        <f t="shared" ref="M10" si="2">"INSERT INTO `directory` (`order`, `office`, `displayname`, `title`, `ext`, `personalTel`, `directTel`, `email`, `contacttype`)  VALUES ('" &amp; A10 &amp; "','" &amp; D10 &amp; "','" &amp; E10 &amp; "','" &amp; G10 &amp; "','" &amp; H10 &amp; "','" &amp; I10 &amp;  "','" &amp; J10 &amp;  "','" &amp; K10 &amp;  "','" &amp; L10 &amp; "');"</f>
        <v>INSERT INTO `directory` (`order`, `office`, `displayname`, `title`, `ext`, `personalTel`, `directTel`, `email`, `contacttype`)  VALUES ('9','1','Andrew Chiang','Education and Training Co-ordinator','---','(647) 704-2388','---','andrewchiang@livingrealtykw.com','Staff');</v>
      </c>
    </row>
    <row r="11" spans="1:13" x14ac:dyDescent="0.3">
      <c r="A11" s="5">
        <v>10</v>
      </c>
      <c r="B11" t="s">
        <v>179</v>
      </c>
      <c r="C11" t="s">
        <v>171</v>
      </c>
      <c r="D11">
        <v>1</v>
      </c>
      <c r="E11" t="s">
        <v>219</v>
      </c>
      <c r="F11" t="s">
        <v>285</v>
      </c>
      <c r="G11" t="s">
        <v>161</v>
      </c>
      <c r="H11">
        <v>509</v>
      </c>
      <c r="I11" t="s">
        <v>220</v>
      </c>
      <c r="J11" s="6" t="s">
        <v>13</v>
      </c>
      <c r="K11" s="4" t="s">
        <v>218</v>
      </c>
      <c r="L11" t="s">
        <v>160</v>
      </c>
      <c r="M11" t="str">
        <f t="shared" ref="M11" si="3">"INSERT INTO `directory` (`order`, `office`, `displayname`, `title`, `ext`, `personalTel`, `directTel`, `email`, `contacttype`)  VALUES ('" &amp; A11 &amp; "','" &amp; D11 &amp; "','" &amp; E11 &amp; "','" &amp; G11 &amp; "','" &amp; H11 &amp; "','" &amp; I11 &amp;  "','" &amp; J11 &amp;  "','" &amp; K11 &amp;  "','" &amp; L11 &amp; "');"</f>
        <v>INSERT INTO `directory` (`order`, `office`, `displayname`, `title`, `ext`, `personalTel`, `directTel`, `email`, `contacttype`)  VALUES ('10','1','Rocky Chow','Executive Assistant to Chairman','509','(647) 818-1818','---','rockychow@livinggroupinc.com','Staff');</v>
      </c>
    </row>
    <row r="12" spans="1:13" x14ac:dyDescent="0.3">
      <c r="A12" s="5">
        <v>11</v>
      </c>
      <c r="B12" t="s">
        <v>179</v>
      </c>
      <c r="C12" t="s">
        <v>171</v>
      </c>
      <c r="D12">
        <v>1</v>
      </c>
      <c r="E12" t="s">
        <v>186</v>
      </c>
      <c r="G12" t="s">
        <v>241</v>
      </c>
      <c r="H12">
        <v>504</v>
      </c>
      <c r="I12" t="s">
        <v>188</v>
      </c>
      <c r="J12" t="s">
        <v>30</v>
      </c>
      <c r="K12" s="4" t="s">
        <v>286</v>
      </c>
      <c r="L12" t="s">
        <v>160</v>
      </c>
      <c r="M12" t="str">
        <f t="shared" si="0"/>
        <v>INSERT INTO `directory` (`order`, `office`, `displayname`, `title`, `ext`, `personalTel`, `directTel`, `email`, `contacttype`)  VALUES ('11','1','Eddie Tang','Market Center Administrator, Executive Group Controller','504','(416) 723-8329','(905) 752-3504','eddietang@livingrealtykw.com','Staff');</v>
      </c>
    </row>
    <row r="13" spans="1:13" x14ac:dyDescent="0.3">
      <c r="A13" s="5">
        <v>12</v>
      </c>
      <c r="B13" t="s">
        <v>179</v>
      </c>
      <c r="C13" t="s">
        <v>171</v>
      </c>
      <c r="D13">
        <v>1</v>
      </c>
      <c r="E13" t="s">
        <v>31</v>
      </c>
      <c r="F13" t="s">
        <v>285</v>
      </c>
      <c r="G13" t="s">
        <v>32</v>
      </c>
      <c r="H13">
        <v>514</v>
      </c>
      <c r="I13" t="s">
        <v>89</v>
      </c>
      <c r="J13" t="s">
        <v>162</v>
      </c>
      <c r="K13" t="s">
        <v>34</v>
      </c>
      <c r="L13" t="s">
        <v>160</v>
      </c>
      <c r="M13" t="str">
        <f t="shared" si="0"/>
        <v>INSERT INTO `directory` (`order`, `office`, `displayname`, `title`, `ext`, `personalTel`, `directTel`, `email`, `contacttype`)  VALUES ('12','1','Winnie Tsui','Senior Manager, Accounting &amp; Operations','514','(647) 286-0145','(905) 752-3514','winniet@livingproperties.com','Staff');</v>
      </c>
    </row>
    <row r="14" spans="1:13" x14ac:dyDescent="0.3">
      <c r="A14" s="5">
        <v>13</v>
      </c>
      <c r="B14" t="s">
        <v>179</v>
      </c>
      <c r="C14" t="s">
        <v>171</v>
      </c>
      <c r="D14">
        <v>1</v>
      </c>
      <c r="E14" t="s">
        <v>228</v>
      </c>
      <c r="F14" t="s">
        <v>285</v>
      </c>
      <c r="G14" t="s">
        <v>306</v>
      </c>
      <c r="H14">
        <v>224</v>
      </c>
      <c r="I14" s="6" t="s">
        <v>13</v>
      </c>
      <c r="J14" s="6" t="s">
        <v>308</v>
      </c>
      <c r="K14" s="4" t="s">
        <v>307</v>
      </c>
      <c r="L14" t="s">
        <v>160</v>
      </c>
      <c r="M14" t="str">
        <f t="shared" ref="M14" si="4">"INSERT INTO `directory` (`order`, `office`, `displayname`, `title`, `ext`, `personalTel`, `directTel`, `email`, `contacttype`)  VALUES ('" &amp; A14 &amp; "','" &amp; D14 &amp; "','" &amp; E14 &amp; "','" &amp; G14 &amp; "','" &amp; H14 &amp; "','" &amp; I14 &amp;  "','" &amp; J14 &amp;  "','" &amp; K14 &amp;  "','" &amp; L14 &amp; "');"</f>
        <v>INSERT INTO `directory` (`order`, `office`, `displayname`, `title`, `ext`, `personalTel`, `directTel`, `email`, `contacttype`)  VALUES ('13','1','Dan Flomen','Team Leader','224','---','(905) 489-8989','dan@livingrealtykw.com','Staff');</v>
      </c>
    </row>
    <row r="15" spans="1:13" x14ac:dyDescent="0.3">
      <c r="A15" s="5">
        <v>14</v>
      </c>
      <c r="B15" t="s">
        <v>179</v>
      </c>
      <c r="C15" t="s">
        <v>171</v>
      </c>
      <c r="D15">
        <v>1</v>
      </c>
      <c r="E15" t="s">
        <v>309</v>
      </c>
      <c r="F15" t="s">
        <v>285</v>
      </c>
      <c r="G15" t="s">
        <v>310</v>
      </c>
      <c r="H15">
        <v>282</v>
      </c>
      <c r="I15" s="6" t="s">
        <v>13</v>
      </c>
      <c r="J15" s="6" t="s">
        <v>13</v>
      </c>
      <c r="K15" s="4" t="s">
        <v>311</v>
      </c>
      <c r="L15" t="s">
        <v>160</v>
      </c>
      <c r="M15" t="str">
        <f t="shared" ref="M15" si="5">"INSERT INTO `directory` (`order`, `office`, `displayname`, `title`, `ext`, `personalTel`, `directTel`, `email`, `contacttype`)  VALUES ('" &amp; A15 &amp; "','" &amp; D15 &amp; "','" &amp; E15 &amp; "','" &amp; G15 &amp; "','" &amp; H15 &amp; "','" &amp; I15 &amp;  "','" &amp; J15 &amp;  "','" &amp; K15 &amp;  "','" &amp; L15 &amp; "');"</f>
        <v>INSERT INTO `directory` (`order`, `office`, `displayname`, `title`, `ext`, `personalTel`, `directTel`, `email`, `contacttype`)  VALUES ('14','1','Joanna Xie','Agent Services Coordinator','282','---','---','joannaxie@livingrealtykw.com','Staff');</v>
      </c>
    </row>
    <row r="16" spans="1:13" x14ac:dyDescent="0.3">
      <c r="A16" s="5">
        <v>15</v>
      </c>
      <c r="B16" t="s">
        <v>179</v>
      </c>
      <c r="C16" t="s">
        <v>171</v>
      </c>
      <c r="D16">
        <v>1</v>
      </c>
      <c r="E16" t="s">
        <v>61</v>
      </c>
      <c r="F16" t="s">
        <v>285</v>
      </c>
      <c r="G16" t="s">
        <v>212</v>
      </c>
      <c r="H16">
        <v>123</v>
      </c>
      <c r="I16" s="6" t="s">
        <v>13</v>
      </c>
      <c r="J16" s="6" t="s">
        <v>13</v>
      </c>
      <c r="K16" s="4" t="s">
        <v>244</v>
      </c>
      <c r="L16" t="s">
        <v>160</v>
      </c>
      <c r="M16" t="str">
        <f t="shared" si="0"/>
        <v>INSERT INTO `directory` (`order`, `office`, `displayname`, `title`, `ext`, `personalTel`, `directTel`, `email`, `contacttype`)  VALUES ('15','1','Wendy Chung','Administration Officer ','123','---','---','wendychung@livingrealtykw.com','Staff');</v>
      </c>
    </row>
    <row r="17" spans="1:13" x14ac:dyDescent="0.3">
      <c r="A17" s="5">
        <v>16</v>
      </c>
      <c r="B17" t="s">
        <v>179</v>
      </c>
      <c r="C17" t="s">
        <v>171</v>
      </c>
      <c r="D17">
        <v>1</v>
      </c>
      <c r="E17" t="s">
        <v>23</v>
      </c>
      <c r="F17" t="s">
        <v>285</v>
      </c>
      <c r="G17" t="s">
        <v>225</v>
      </c>
      <c r="H17">
        <v>206</v>
      </c>
      <c r="I17" s="6" t="s">
        <v>13</v>
      </c>
      <c r="J17" s="6" t="s">
        <v>13</v>
      </c>
      <c r="K17" s="4" t="s">
        <v>264</v>
      </c>
      <c r="L17" t="s">
        <v>160</v>
      </c>
      <c r="M17" t="str">
        <f t="shared" si="0"/>
        <v>INSERT INTO `directory` (`order`, `office`, `displayname`, `title`, `ext`, `personalTel`, `directTel`, `email`, `contacttype`)  VALUES ('16','1','Benjamin Wong','Assistant to the Broker of Record','206','---','---','benjaminwongici@livingrealtykw.com','Staff');</v>
      </c>
    </row>
    <row r="18" spans="1:13" x14ac:dyDescent="0.3">
      <c r="A18" s="5">
        <v>17</v>
      </c>
      <c r="B18" t="s">
        <v>179</v>
      </c>
      <c r="C18" t="s">
        <v>171</v>
      </c>
      <c r="D18">
        <v>1</v>
      </c>
      <c r="E18" t="s">
        <v>39</v>
      </c>
      <c r="F18" t="s">
        <v>285</v>
      </c>
      <c r="G18" t="s">
        <v>40</v>
      </c>
      <c r="H18">
        <v>507</v>
      </c>
      <c r="I18" s="6" t="s">
        <v>13</v>
      </c>
      <c r="J18" t="s">
        <v>41</v>
      </c>
      <c r="K18" s="4" t="s">
        <v>246</v>
      </c>
      <c r="L18" t="s">
        <v>160</v>
      </c>
      <c r="M18" t="str">
        <f t="shared" si="0"/>
        <v>INSERT INTO `directory` (`order`, `office`, `displayname`, `title`, `ext`, `personalTel`, `directTel`, `email`, `contacttype`)  VALUES ('17','1','Luvie Chao','Senior Deal Administrator','507','---','(905) 752-3507','luvie@livingrealtykw.com','Staff');</v>
      </c>
    </row>
    <row r="19" spans="1:13" x14ac:dyDescent="0.3">
      <c r="A19" s="5">
        <v>18</v>
      </c>
      <c r="B19" t="s">
        <v>179</v>
      </c>
      <c r="C19" t="s">
        <v>171</v>
      </c>
      <c r="D19">
        <v>1</v>
      </c>
      <c r="E19" t="s">
        <v>42</v>
      </c>
      <c r="F19" t="s">
        <v>285</v>
      </c>
      <c r="G19" t="s">
        <v>37</v>
      </c>
      <c r="H19">
        <v>508</v>
      </c>
      <c r="I19" s="6" t="s">
        <v>13</v>
      </c>
      <c r="J19" t="s">
        <v>38</v>
      </c>
      <c r="K19" s="4" t="s">
        <v>247</v>
      </c>
      <c r="L19" t="s">
        <v>160</v>
      </c>
      <c r="M19" t="str">
        <f t="shared" si="0"/>
        <v>INSERT INTO `directory` (`order`, `office`, `displayname`, `title`, `ext`, `personalTel`, `directTel`, `email`, `contacttype`)  VALUES ('18','1','Maria Leung','Deal Administrator','508','---','(905) 752-3508','marialeung@livingrealtykw.com','Staff');</v>
      </c>
    </row>
    <row r="20" spans="1:13" x14ac:dyDescent="0.3">
      <c r="A20" s="5">
        <v>19</v>
      </c>
      <c r="B20" t="s">
        <v>179</v>
      </c>
      <c r="C20" t="s">
        <v>171</v>
      </c>
      <c r="D20">
        <v>1</v>
      </c>
      <c r="E20" t="s">
        <v>77</v>
      </c>
      <c r="F20" t="s">
        <v>285</v>
      </c>
      <c r="G20" t="s">
        <v>37</v>
      </c>
      <c r="H20">
        <v>255</v>
      </c>
      <c r="I20" s="6" t="s">
        <v>13</v>
      </c>
      <c r="J20" s="6" t="s">
        <v>13</v>
      </c>
      <c r="K20" s="4" t="s">
        <v>248</v>
      </c>
      <c r="L20" t="s">
        <v>160</v>
      </c>
      <c r="M20" t="str">
        <f t="shared" ref="M20" si="6">"INSERT INTO `directory` (`order`, `office`, `displayname`, `title`, `ext`, `personalTel`, `directTel`, `email`, `contacttype`)  VALUES ('" &amp; A20 &amp; "','" &amp; D20 &amp; "','" &amp; E20 &amp; "','" &amp; G20 &amp; "','" &amp; H20 &amp; "','" &amp; I20 &amp;  "','" &amp; J20 &amp;  "','" &amp; K20 &amp;  "','" &amp; L20 &amp; "');"</f>
        <v>INSERT INTO `directory` (`order`, `office`, `displayname`, `title`, `ext`, `personalTel`, `directTel`, `email`, `contacttype`)  VALUES ('19','1','Ken Cheung','Deal Administrator','255','---','---','kencheung@livingrealtykw.com','Staff');</v>
      </c>
    </row>
    <row r="21" spans="1:13" x14ac:dyDescent="0.3">
      <c r="A21" s="5">
        <v>20</v>
      </c>
      <c r="B21" t="s">
        <v>179</v>
      </c>
      <c r="C21" t="s">
        <v>171</v>
      </c>
      <c r="D21">
        <v>1</v>
      </c>
      <c r="E21" t="s">
        <v>273</v>
      </c>
      <c r="F21" t="s">
        <v>285</v>
      </c>
      <c r="G21" t="s">
        <v>163</v>
      </c>
      <c r="H21">
        <v>506</v>
      </c>
      <c r="I21" s="6" t="s">
        <v>13</v>
      </c>
      <c r="J21" t="s">
        <v>36</v>
      </c>
      <c r="K21" s="4" t="s">
        <v>274</v>
      </c>
      <c r="L21" t="s">
        <v>160</v>
      </c>
      <c r="M21" t="str">
        <f t="shared" ref="M21" si="7">"INSERT INTO `directory` (`order`, `office`, `displayname`, `title`, `ext`, `personalTel`, `directTel`, `email`, `contacttype`)  VALUES ('" &amp; A21 &amp; "','" &amp; D21 &amp; "','" &amp; E21 &amp; "','" &amp; G21 &amp; "','" &amp; H21 &amp; "','" &amp; I21 &amp;  "','" &amp; J21 &amp;  "','" &amp; K21 &amp;  "','" &amp; L21 &amp; "');"</f>
        <v>INSERT INTO `directory` (`order`, `office`, `displayname`, `title`, `ext`, `personalTel`, `directTel`, `email`, `contacttype`)  VALUES ('20','1','Connie Cheung','Accounting Bookkeeper','506','---','(905) 752-3506','conniecheung@livingrealtykw.com','Staff');</v>
      </c>
    </row>
    <row r="22" spans="1:13" x14ac:dyDescent="0.3">
      <c r="A22" s="5">
        <v>21</v>
      </c>
      <c r="B22" t="s">
        <v>179</v>
      </c>
      <c r="C22" t="s">
        <v>171</v>
      </c>
      <c r="D22">
        <v>1</v>
      </c>
      <c r="E22" t="s">
        <v>43</v>
      </c>
      <c r="F22" t="s">
        <v>285</v>
      </c>
      <c r="G22" t="s">
        <v>44</v>
      </c>
      <c r="H22">
        <v>519</v>
      </c>
      <c r="I22" s="6" t="s">
        <v>13</v>
      </c>
      <c r="J22" t="s">
        <v>45</v>
      </c>
      <c r="K22" s="4" t="s">
        <v>249</v>
      </c>
      <c r="L22" t="s">
        <v>160</v>
      </c>
      <c r="M22" t="str">
        <f t="shared" si="0"/>
        <v>INSERT INTO `directory` (`order`, `office`, `displayname`, `title`, `ext`, `personalTel`, `directTel`, `email`, `contacttype`)  VALUES ('21','1','Simon Chan','Operations Assistant','519','---','(905) 752-3519','simonchan@livingrealtykw.com','Staff');</v>
      </c>
    </row>
    <row r="23" spans="1:13" x14ac:dyDescent="0.3">
      <c r="A23" s="5">
        <v>22</v>
      </c>
      <c r="B23" t="s">
        <v>179</v>
      </c>
      <c r="C23" t="s">
        <v>171</v>
      </c>
      <c r="D23">
        <v>1</v>
      </c>
      <c r="E23" t="s">
        <v>202</v>
      </c>
      <c r="F23" t="s">
        <v>285</v>
      </c>
      <c r="G23" t="s">
        <v>203</v>
      </c>
      <c r="H23">
        <v>121</v>
      </c>
      <c r="I23" s="6" t="s">
        <v>13</v>
      </c>
      <c r="J23" s="6" t="s">
        <v>13</v>
      </c>
      <c r="K23" s="4" t="s">
        <v>250</v>
      </c>
      <c r="L23" t="s">
        <v>160</v>
      </c>
      <c r="M23" t="str">
        <f t="shared" ref="M23" si="8">"INSERT INTO `directory` (`order`, `office`, `displayname`, `title`, `ext`, `personalTel`, `directTel`, `email`, `contacttype`)  VALUES ('" &amp; A23 &amp; "','" &amp; D23 &amp; "','" &amp; E23 &amp; "','" &amp; G23 &amp; "','" &amp; H23 &amp; "','" &amp; I23 &amp;  "','" &amp; J23 &amp;  "','" &amp; K23 &amp;  "','" &amp; L23 &amp; "');"</f>
        <v>INSERT INTO `directory` (`order`, `office`, `displayname`, `title`, `ext`, `personalTel`, `directTel`, `email`, `contacttype`)  VALUES ('22','1','Kelly Wan','Digital Artist &amp; Content Creator ','121','---','---','kellywan@livingrealtykw.com','Staff');</v>
      </c>
    </row>
    <row r="24" spans="1:13" x14ac:dyDescent="0.3">
      <c r="A24" s="5">
        <v>23</v>
      </c>
      <c r="B24" t="s">
        <v>179</v>
      </c>
      <c r="C24" t="s">
        <v>171</v>
      </c>
      <c r="D24">
        <v>1</v>
      </c>
      <c r="E24" t="s">
        <v>46</v>
      </c>
      <c r="F24" t="s">
        <v>285</v>
      </c>
      <c r="G24" t="s">
        <v>323</v>
      </c>
      <c r="H24">
        <v>522</v>
      </c>
      <c r="I24" t="s">
        <v>47</v>
      </c>
      <c r="J24" t="s">
        <v>48</v>
      </c>
      <c r="K24" s="4" t="s">
        <v>251</v>
      </c>
      <c r="L24" t="s">
        <v>160</v>
      </c>
      <c r="M24" t="str">
        <f t="shared" si="0"/>
        <v>INSERT INTO `directory` (`order`, `office`, `displayname`, `title`, `ext`, `personalTel`, `directTel`, `email`, `contacttype`)  VALUES ('23','1','Nelson Lau','Senior Technical Specialist &amp; System Architech','522','(647) 701-8828','(905) 752-3522','nelsonlau@livingrealtykw.com','Staff');</v>
      </c>
    </row>
    <row r="25" spans="1:13" x14ac:dyDescent="0.3">
      <c r="A25" s="5">
        <v>24</v>
      </c>
      <c r="B25" t="s">
        <v>179</v>
      </c>
      <c r="C25" t="s">
        <v>171</v>
      </c>
      <c r="D25">
        <v>1</v>
      </c>
      <c r="E25" t="s">
        <v>49</v>
      </c>
      <c r="G25" t="s">
        <v>50</v>
      </c>
      <c r="H25">
        <v>522</v>
      </c>
      <c r="I25" s="6" t="s">
        <v>13</v>
      </c>
      <c r="J25" t="s">
        <v>48</v>
      </c>
      <c r="K25" s="4" t="s">
        <v>252</v>
      </c>
      <c r="L25" t="s">
        <v>160</v>
      </c>
      <c r="M25" t="str">
        <f t="shared" si="0"/>
        <v>INSERT INTO `directory` (`order`, `office`, `displayname`, `title`, `ext`, `personalTel`, `directTel`, `email`, `contacttype`)  VALUES ('24','1','IT Support','Information Technology Technical Support','522','---','(905) 752-3522','itsupport@livingrealtykw.com','Staff');</v>
      </c>
    </row>
    <row r="26" spans="1:13" x14ac:dyDescent="0.3">
      <c r="A26" s="5">
        <v>25</v>
      </c>
      <c r="B26" t="s">
        <v>51</v>
      </c>
      <c r="C26" t="s">
        <v>172</v>
      </c>
      <c r="D26">
        <v>2</v>
      </c>
      <c r="E26" t="s">
        <v>52</v>
      </c>
      <c r="F26" t="s">
        <v>285</v>
      </c>
      <c r="G26" t="s">
        <v>53</v>
      </c>
      <c r="H26" s="6" t="s">
        <v>195</v>
      </c>
      <c r="I26" s="6" t="s">
        <v>195</v>
      </c>
      <c r="J26" t="s">
        <v>54</v>
      </c>
      <c r="K26" s="4" t="s">
        <v>253</v>
      </c>
      <c r="L26" t="s">
        <v>158</v>
      </c>
      <c r="M26" t="str">
        <f t="shared" si="0"/>
        <v>INSERT INTO `directory` (`order`, `office`, `displayname`, `title`, `ext`, `personalTel`, `directTel`, `email`, `contacttype`)  VALUES ('25','2','North Markham Office','735 Markland St, Unit 12&amp;13, Markham, ON, L6C 0G6','--','--','T: (905) 888-8188','northmarkham@livingrealtykw.com','Office Header');</v>
      </c>
    </row>
    <row r="27" spans="1:13" x14ac:dyDescent="0.3">
      <c r="A27" s="5">
        <v>26</v>
      </c>
      <c r="B27" t="s">
        <v>51</v>
      </c>
      <c r="C27" t="s">
        <v>172</v>
      </c>
      <c r="D27">
        <v>2</v>
      </c>
      <c r="E27" t="s">
        <v>55</v>
      </c>
      <c r="F27" t="s">
        <v>285</v>
      </c>
      <c r="G27" t="s">
        <v>56</v>
      </c>
      <c r="H27" s="6" t="s">
        <v>13</v>
      </c>
      <c r="I27" t="s">
        <v>57</v>
      </c>
      <c r="J27" s="6" t="s">
        <v>13</v>
      </c>
      <c r="K27" s="4" t="s">
        <v>254</v>
      </c>
      <c r="L27" t="s">
        <v>160</v>
      </c>
      <c r="M27" t="str">
        <f t="shared" si="0"/>
        <v>INSERT INTO `directory` (`order`, `office`, `displayname`, `title`, `ext`, `personalTel`, `directTel`, `email`, `contacttype`)  VALUES ('26','2','Chris Tam','Manager North Markham Branch','---','(416) 505-6625','---','christam@livingrealtykw.com','Staff');</v>
      </c>
    </row>
    <row r="28" spans="1:13" x14ac:dyDescent="0.3">
      <c r="A28" s="5">
        <v>27</v>
      </c>
      <c r="B28" t="s">
        <v>51</v>
      </c>
      <c r="C28" t="s">
        <v>172</v>
      </c>
      <c r="D28">
        <v>2</v>
      </c>
      <c r="E28" t="s">
        <v>59</v>
      </c>
      <c r="F28" t="s">
        <v>285</v>
      </c>
      <c r="G28" t="s">
        <v>164</v>
      </c>
      <c r="H28" s="6" t="s">
        <v>13</v>
      </c>
      <c r="I28" s="6" t="s">
        <v>13</v>
      </c>
      <c r="J28" t="s">
        <v>58</v>
      </c>
      <c r="K28" s="4" t="s">
        <v>255</v>
      </c>
      <c r="L28" t="s">
        <v>160</v>
      </c>
      <c r="M28" t="str">
        <f t="shared" si="0"/>
        <v>INSERT INTO `directory` (`order`, `office`, `displayname`, `title`, `ext`, `personalTel`, `directTel`, `email`, `contacttype`)  VALUES ('27','2','Grace Chui','Head Secretary','---','---','(905) 888-8188','gracemschui@livingrealtykw.com','Staff');</v>
      </c>
    </row>
    <row r="29" spans="1:13" x14ac:dyDescent="0.3">
      <c r="A29" s="5">
        <v>28</v>
      </c>
      <c r="B29" t="s">
        <v>51</v>
      </c>
      <c r="C29" t="s">
        <v>172</v>
      </c>
      <c r="D29">
        <v>2</v>
      </c>
      <c r="E29" t="s">
        <v>224</v>
      </c>
      <c r="F29" t="s">
        <v>285</v>
      </c>
      <c r="G29" t="s">
        <v>60</v>
      </c>
      <c r="H29" s="6" t="s">
        <v>13</v>
      </c>
      <c r="I29" s="6" t="s">
        <v>13</v>
      </c>
      <c r="J29" t="s">
        <v>58</v>
      </c>
      <c r="K29" s="4" t="s">
        <v>262</v>
      </c>
      <c r="L29" t="s">
        <v>160</v>
      </c>
      <c r="M29" t="str">
        <f t="shared" ref="M29" si="9">"INSERT INTO `directory` (`order`, `office`, `displayname`, `title`, `ext`, `personalTel`, `directTel`, `email`, `contacttype`)  VALUES ('" &amp; A29 &amp; "','" &amp; D29 &amp; "','" &amp; E29 &amp; "','" &amp; G29 &amp; "','" &amp; H29 &amp; "','" &amp; I29 &amp;  "','" &amp; J29 &amp;  "','" &amp; K29 &amp;  "','" &amp; L29 &amp; "');"</f>
        <v>INSERT INTO `directory` (`order`, `office`, `displayname`, `title`, `ext`, `personalTel`, `directTel`, `email`, `contacttype`)  VALUES ('28','2','Kiran Li','Secretary','---','---','(905) 888-8188','kiranli@livingrealtykw.com','Staff');</v>
      </c>
    </row>
    <row r="30" spans="1:13" x14ac:dyDescent="0.3">
      <c r="A30" s="5">
        <v>29</v>
      </c>
      <c r="B30" t="s">
        <v>67</v>
      </c>
      <c r="C30" t="s">
        <v>173</v>
      </c>
      <c r="D30">
        <v>4</v>
      </c>
      <c r="E30" t="s">
        <v>68</v>
      </c>
      <c r="F30" t="s">
        <v>285</v>
      </c>
      <c r="G30" t="s">
        <v>152</v>
      </c>
      <c r="H30" s="6" t="s">
        <v>195</v>
      </c>
      <c r="I30" s="6" t="s">
        <v>195</v>
      </c>
      <c r="J30" t="s">
        <v>69</v>
      </c>
      <c r="K30" s="4" t="s">
        <v>257</v>
      </c>
      <c r="L30" t="s">
        <v>158</v>
      </c>
      <c r="M30" t="str">
        <f t="shared" si="0"/>
        <v>INSERT INTO `directory` (`order`, `office`, `displayname`, `title`, `ext`, `personalTel`, `directTel`, `email`, `contacttype`)  VALUES ('29','4','Mississauga Office','1177 Central Parkway West, Golden Square, Unit 32, Mississauga, ON, L5C 4P3','--','--','T: (905) 896-0002','mississauga@livingrealtykw.com','Office Header');</v>
      </c>
    </row>
    <row r="31" spans="1:13" x14ac:dyDescent="0.3">
      <c r="A31" s="5">
        <v>30</v>
      </c>
      <c r="B31" t="s">
        <v>67</v>
      </c>
      <c r="C31" t="s">
        <v>173</v>
      </c>
      <c r="D31">
        <v>4</v>
      </c>
      <c r="E31" t="s">
        <v>312</v>
      </c>
      <c r="F31" t="s">
        <v>285</v>
      </c>
      <c r="G31" t="s">
        <v>70</v>
      </c>
      <c r="H31" s="6" t="s">
        <v>13</v>
      </c>
      <c r="I31" t="s">
        <v>71</v>
      </c>
      <c r="J31" s="6" t="s">
        <v>13</v>
      </c>
      <c r="K31" s="4" t="s">
        <v>313</v>
      </c>
      <c r="L31" t="s">
        <v>160</v>
      </c>
      <c r="M31" t="str">
        <f t="shared" si="0"/>
        <v>INSERT INTO `directory` (`order`, `office`, `displayname`, `title`, `ext`, `personalTel`, `directTel`, `email`, `contacttype`)  VALUES ('30','4','Cassandra Pacitto','Manager Mississauga Branch','---','(905) 896-0002','---','cassandrapacitto@livingrealtykw.com','Staff');</v>
      </c>
    </row>
    <row r="32" spans="1:13" x14ac:dyDescent="0.3">
      <c r="A32" s="5">
        <v>31</v>
      </c>
      <c r="B32" t="s">
        <v>67</v>
      </c>
      <c r="C32" t="s">
        <v>173</v>
      </c>
      <c r="D32">
        <v>4</v>
      </c>
      <c r="E32" t="s">
        <v>277</v>
      </c>
      <c r="F32" t="s">
        <v>285</v>
      </c>
      <c r="G32" t="s">
        <v>60</v>
      </c>
      <c r="H32" s="6" t="s">
        <v>13</v>
      </c>
      <c r="I32" s="6" t="s">
        <v>13</v>
      </c>
      <c r="J32" t="s">
        <v>71</v>
      </c>
      <c r="K32" s="4" t="s">
        <v>278</v>
      </c>
      <c r="L32" t="s">
        <v>160</v>
      </c>
      <c r="M32" t="str">
        <f t="shared" ref="M32:M62" si="10">"INSERT INTO `directory` (`order`, `office`, `displayname`, `title`, `ext`, `personalTel`, `directTel`, `email`, `contacttype`)  VALUES ('" &amp; A32 &amp; "','" &amp; D32 &amp; "','" &amp; E32 &amp; "','" &amp; G32 &amp; "','" &amp; H32 &amp; "','" &amp; I32 &amp;  "','" &amp; J32 &amp;  "','" &amp; K32 &amp;  "','" &amp; L32 &amp; "');"</f>
        <v>INSERT INTO `directory` (`order`, `office`, `displayname`, `title`, `ext`, `personalTel`, `directTel`, `email`, `contacttype`)  VALUES ('31','4','Katie Wong','Secretary','---','---','(905) 896-0002','katiewong@livingrealtykw.com','Staff');</v>
      </c>
    </row>
    <row r="33" spans="1:13" x14ac:dyDescent="0.3">
      <c r="A33" s="5">
        <v>32</v>
      </c>
      <c r="B33" t="s">
        <v>67</v>
      </c>
      <c r="C33" t="s">
        <v>173</v>
      </c>
      <c r="D33">
        <v>4</v>
      </c>
      <c r="E33" t="s">
        <v>319</v>
      </c>
      <c r="F33" t="s">
        <v>285</v>
      </c>
      <c r="G33" t="s">
        <v>60</v>
      </c>
      <c r="H33" s="6" t="s">
        <v>13</v>
      </c>
      <c r="I33" s="6" t="s">
        <v>13</v>
      </c>
      <c r="J33" t="s">
        <v>71</v>
      </c>
      <c r="K33" s="4" t="s">
        <v>320</v>
      </c>
      <c r="L33" t="s">
        <v>160</v>
      </c>
      <c r="M33" t="str">
        <f t="shared" ref="M33" si="11">"INSERT INTO `directory` (`order`, `office`, `displayname`, `title`, `ext`, `personalTel`, `directTel`, `email`, `contacttype`)  VALUES ('" &amp; A33 &amp; "','" &amp; D33 &amp; "','" &amp; E33 &amp; "','" &amp; G33 &amp; "','" &amp; H33 &amp; "','" &amp; I33 &amp;  "','" &amp; J33 &amp;  "','" &amp; K33 &amp;  "','" &amp; L33 &amp; "');"</f>
        <v>INSERT INTO `directory` (`order`, `office`, `displayname`, `title`, `ext`, `personalTel`, `directTel`, `email`, `contacttype`)  VALUES ('32','4','Juliana Monize','Secretary','---','---','(905) 896-0002','julianamonize@livingrealtykw.com','Staff');</v>
      </c>
    </row>
    <row r="34" spans="1:13" x14ac:dyDescent="0.3">
      <c r="A34" s="5">
        <v>33</v>
      </c>
      <c r="B34" t="s">
        <v>72</v>
      </c>
      <c r="C34" t="s">
        <v>175</v>
      </c>
      <c r="D34">
        <v>5</v>
      </c>
      <c r="E34" t="s">
        <v>73</v>
      </c>
      <c r="F34" t="s">
        <v>285</v>
      </c>
      <c r="G34" t="s">
        <v>9</v>
      </c>
      <c r="H34" s="6" t="s">
        <v>195</v>
      </c>
      <c r="I34" s="6" t="s">
        <v>195</v>
      </c>
      <c r="J34" t="s">
        <v>74</v>
      </c>
      <c r="K34" s="4" t="s">
        <v>258</v>
      </c>
      <c r="L34" t="s">
        <v>158</v>
      </c>
      <c r="M34" t="str">
        <f t="shared" si="10"/>
        <v>INSERT INTO `directory` (`order`, `office`, `displayname`, `title`, `ext`, `personalTel`, `directTel`, `email`, `contacttype`)  VALUES ('33','5','Woodbine Office','8 Steelcase Road West, Markham, ON, L3R 1B2','--','--','T: (905) 474-0500','woodbine@livingrealtykw.com','Office Header');</v>
      </c>
    </row>
    <row r="35" spans="1:13" x14ac:dyDescent="0.3">
      <c r="A35" s="5">
        <v>34</v>
      </c>
      <c r="B35" t="s">
        <v>72</v>
      </c>
      <c r="C35" t="s">
        <v>175</v>
      </c>
      <c r="D35">
        <v>5</v>
      </c>
      <c r="E35" t="s">
        <v>76</v>
      </c>
      <c r="F35" t="s">
        <v>285</v>
      </c>
      <c r="G35" t="s">
        <v>75</v>
      </c>
      <c r="H35">
        <v>176</v>
      </c>
      <c r="I35" t="s">
        <v>174</v>
      </c>
      <c r="J35" s="6" t="s">
        <v>13</v>
      </c>
      <c r="K35" s="4" t="s">
        <v>259</v>
      </c>
      <c r="L35" t="s">
        <v>160</v>
      </c>
      <c r="M35" t="str">
        <f t="shared" si="10"/>
        <v>INSERT INTO `directory` (`order`, `office`, `displayname`, `title`, `ext`, `personalTel`, `directTel`, `email`, `contacttype`)  VALUES ('34','5','Anita Huang','Manager Woobine Branch','176','(416) 523-1888','---','anitahuang@livingrealtykw.com','Staff');</v>
      </c>
    </row>
    <row r="36" spans="1:13" x14ac:dyDescent="0.3">
      <c r="A36" s="5">
        <v>35</v>
      </c>
      <c r="B36" t="s">
        <v>72</v>
      </c>
      <c r="C36" t="s">
        <v>175</v>
      </c>
      <c r="D36">
        <v>5</v>
      </c>
      <c r="E36" t="s">
        <v>79</v>
      </c>
      <c r="F36" t="s">
        <v>285</v>
      </c>
      <c r="G36" t="s">
        <v>60</v>
      </c>
      <c r="H36">
        <v>100</v>
      </c>
      <c r="I36" s="6" t="s">
        <v>13</v>
      </c>
      <c r="J36" t="s">
        <v>19</v>
      </c>
      <c r="K36" s="4" t="s">
        <v>261</v>
      </c>
      <c r="L36" t="s">
        <v>160</v>
      </c>
      <c r="M36" t="str">
        <f t="shared" si="10"/>
        <v>INSERT INTO `directory` (`order`, `office`, `displayname`, `title`, `ext`, `personalTel`, `directTel`, `email`, `contacttype`)  VALUES ('35','5','Savanna Joo','Secretary','100','---','(905) 474-0500','savannajoo@livingrealtykw.com','Staff');</v>
      </c>
    </row>
    <row r="37" spans="1:13" x14ac:dyDescent="0.3">
      <c r="A37" s="5">
        <v>36</v>
      </c>
      <c r="B37" t="s">
        <v>72</v>
      </c>
      <c r="C37" t="s">
        <v>175</v>
      </c>
      <c r="D37">
        <v>5</v>
      </c>
      <c r="E37" t="s">
        <v>314</v>
      </c>
      <c r="F37" t="s">
        <v>285</v>
      </c>
      <c r="G37" t="s">
        <v>60</v>
      </c>
      <c r="H37">
        <v>104</v>
      </c>
      <c r="I37" s="6" t="s">
        <v>13</v>
      </c>
      <c r="J37" t="s">
        <v>19</v>
      </c>
      <c r="K37" s="4" t="s">
        <v>315</v>
      </c>
      <c r="L37" t="s">
        <v>160</v>
      </c>
      <c r="M37" t="str">
        <f t="shared" ref="M37" si="12">"INSERT INTO `directory` (`order`, `office`, `displayname`, `title`, `ext`, `personalTel`, `directTel`, `email`, `contacttype`)  VALUES ('" &amp; A37 &amp; "','" &amp; D37 &amp; "','" &amp; E37 &amp; "','" &amp; G37 &amp; "','" &amp; H37 &amp; "','" &amp; I37 &amp;  "','" &amp; J37 &amp;  "','" &amp; K37 &amp;  "','" &amp; L37 &amp; "');"</f>
        <v>INSERT INTO `directory` (`order`, `office`, `displayname`, `title`, `ext`, `personalTel`, `directTel`, `email`, `contacttype`)  VALUES ('36','5','Riley Lam','Secretary','104','---','(905) 474-0500','rileylam@livingrealtykw.com','Staff');</v>
      </c>
    </row>
    <row r="38" spans="1:13" x14ac:dyDescent="0.3">
      <c r="A38" s="5">
        <v>37</v>
      </c>
      <c r="B38" t="s">
        <v>62</v>
      </c>
      <c r="C38" t="s">
        <v>230</v>
      </c>
      <c r="D38">
        <v>3</v>
      </c>
      <c r="E38" t="s">
        <v>229</v>
      </c>
      <c r="F38" t="s">
        <v>285</v>
      </c>
      <c r="G38" t="s">
        <v>221</v>
      </c>
      <c r="H38" s="6" t="s">
        <v>195</v>
      </c>
      <c r="I38" s="6" t="s">
        <v>195</v>
      </c>
      <c r="J38" t="s">
        <v>63</v>
      </c>
      <c r="K38" s="4" t="s">
        <v>265</v>
      </c>
      <c r="L38" t="s">
        <v>158</v>
      </c>
      <c r="M38" t="str">
        <f t="shared" si="10"/>
        <v>INSERT INTO `directory` (`order`, `office`, `displayname`, `title`, `ext`, `personalTel`, `directTel`, `email`, `contacttype`)  VALUES ('37','3','Yonge &amp; Eglinton Office','2301 Yonge Street, Toronto, ON, M4P 2C6','--','--','T: (416) 223-8833','ye@livingrealtykw.com','Office Header');</v>
      </c>
    </row>
    <row r="39" spans="1:13" x14ac:dyDescent="0.3">
      <c r="A39" s="5">
        <v>38</v>
      </c>
      <c r="B39" t="s">
        <v>62</v>
      </c>
      <c r="C39" t="s">
        <v>230</v>
      </c>
      <c r="D39">
        <v>3</v>
      </c>
      <c r="E39" t="s">
        <v>288</v>
      </c>
      <c r="F39" t="s">
        <v>285</v>
      </c>
      <c r="G39" t="s">
        <v>289</v>
      </c>
      <c r="H39" s="6" t="s">
        <v>13</v>
      </c>
      <c r="I39" t="s">
        <v>290</v>
      </c>
      <c r="J39" s="6" t="s">
        <v>13</v>
      </c>
      <c r="K39" s="4" t="s">
        <v>291</v>
      </c>
      <c r="L39" t="s">
        <v>160</v>
      </c>
      <c r="M39" t="str">
        <f t="shared" si="10"/>
        <v>INSERT INTO `directory` (`order`, `office`, `displayname`, `title`, `ext`, `personalTel`, `directTel`, `email`, `contacttype`)  VALUES ('38','3','Tony Prochilo ','Manager Yonge &amp; Eglinton','---','(416) 576-6312','---','tonyprochilo@livingrealtykw.com','Staff');</v>
      </c>
    </row>
    <row r="40" spans="1:13" x14ac:dyDescent="0.3">
      <c r="A40" s="5">
        <v>39</v>
      </c>
      <c r="B40" t="s">
        <v>62</v>
      </c>
      <c r="C40" t="s">
        <v>230</v>
      </c>
      <c r="D40">
        <v>3</v>
      </c>
      <c r="E40" t="s">
        <v>231</v>
      </c>
      <c r="F40" t="s">
        <v>285</v>
      </c>
      <c r="G40" t="s">
        <v>60</v>
      </c>
      <c r="H40" s="6" t="s">
        <v>13</v>
      </c>
      <c r="I40" s="6" t="s">
        <v>13</v>
      </c>
      <c r="J40" t="s">
        <v>66</v>
      </c>
      <c r="K40" s="4" t="s">
        <v>260</v>
      </c>
      <c r="L40" t="s">
        <v>160</v>
      </c>
      <c r="M40" t="str">
        <f t="shared" si="10"/>
        <v>INSERT INTO `directory` (`order`, `office`, `displayname`, `title`, `ext`, `personalTel`, `directTel`, `email`, `contacttype`)  VALUES ('39','3','Lydia Ng','Secretary','---','---','(416) 223-8833','lydiang@livingrealtykw.com','Staff');</v>
      </c>
    </row>
    <row r="41" spans="1:13" x14ac:dyDescent="0.3">
      <c r="A41" s="5">
        <v>40</v>
      </c>
      <c r="B41" t="s">
        <v>177</v>
      </c>
      <c r="C41" t="s">
        <v>177</v>
      </c>
      <c r="D41">
        <v>7</v>
      </c>
      <c r="E41" t="s">
        <v>81</v>
      </c>
      <c r="G41" t="s">
        <v>82</v>
      </c>
      <c r="H41" s="6" t="s">
        <v>195</v>
      </c>
      <c r="I41" s="6" t="s">
        <v>195</v>
      </c>
      <c r="J41" t="s">
        <v>83</v>
      </c>
      <c r="K41" s="6" t="s">
        <v>195</v>
      </c>
      <c r="L41" t="s">
        <v>158</v>
      </c>
      <c r="M41" t="str">
        <f t="shared" si="10"/>
        <v>INSERT INTO `directory` (`order`, `office`, `displayname`, `title`, `ext`, `personalTel`, `directTel`, `email`, `contacttype`)  VALUES ('40','7','I.C.&amp;I. Office','8 Steelcase Road West, Unit C, Markham, ON, L3R 1B2','--','--','T: (905) 474-1772','--','Office Header');</v>
      </c>
    </row>
    <row r="42" spans="1:13" x14ac:dyDescent="0.3">
      <c r="A42" s="5">
        <v>41</v>
      </c>
      <c r="B42" t="s">
        <v>177</v>
      </c>
      <c r="C42" t="s">
        <v>177</v>
      </c>
      <c r="D42">
        <v>7</v>
      </c>
      <c r="E42" t="s">
        <v>17</v>
      </c>
      <c r="F42" t="s">
        <v>285</v>
      </c>
      <c r="G42" t="s">
        <v>84</v>
      </c>
      <c r="H42">
        <v>228</v>
      </c>
      <c r="I42" t="s">
        <v>18</v>
      </c>
      <c r="J42" s="6" t="s">
        <v>13</v>
      </c>
      <c r="K42" s="4" t="s">
        <v>237</v>
      </c>
      <c r="L42" t="s">
        <v>160</v>
      </c>
      <c r="M42" t="str">
        <f t="shared" si="10"/>
        <v>INSERT INTO `directory` (`order`, `office`, `displayname`, `title`, `ext`, `personalTel`, `directTel`, `email`, `contacttype`)  VALUES ('41','7','Kelvin Wong','Manager I.C.&amp;I. Branch','228','(416) 567-7882','---','kelvin@livingrealtykw.com','Staff');</v>
      </c>
    </row>
    <row r="43" spans="1:13" x14ac:dyDescent="0.3">
      <c r="A43" s="5">
        <v>42</v>
      </c>
      <c r="B43" t="s">
        <v>180</v>
      </c>
      <c r="C43" t="s">
        <v>178</v>
      </c>
      <c r="D43">
        <v>8</v>
      </c>
      <c r="E43" t="s">
        <v>86</v>
      </c>
      <c r="G43" t="s">
        <v>9</v>
      </c>
      <c r="H43" s="6" t="s">
        <v>195</v>
      </c>
      <c r="I43" s="6" t="s">
        <v>195</v>
      </c>
      <c r="J43" t="s">
        <v>87</v>
      </c>
      <c r="K43" s="6" t="s">
        <v>195</v>
      </c>
      <c r="L43" t="s">
        <v>158</v>
      </c>
      <c r="M43" t="str">
        <f t="shared" si="10"/>
        <v>INSERT INTO `directory` (`order`, `office`, `displayname`, `title`, `ext`, `personalTel`, `directTel`, `email`, `contacttype`)  VALUES ('42','8','LPI Head Office','8 Steelcase Road West, Markham, ON, L3R 1B2','--','--','T: (905) 477-2090','--','Office Header');</v>
      </c>
    </row>
    <row r="44" spans="1:13" x14ac:dyDescent="0.3">
      <c r="A44" s="5">
        <v>43</v>
      </c>
      <c r="B44" t="s">
        <v>180</v>
      </c>
      <c r="C44" t="s">
        <v>178</v>
      </c>
      <c r="D44">
        <v>8</v>
      </c>
      <c r="E44" t="s">
        <v>208</v>
      </c>
      <c r="G44" t="s">
        <v>15</v>
      </c>
      <c r="H44">
        <v>521</v>
      </c>
      <c r="I44" t="s">
        <v>24</v>
      </c>
      <c r="J44" t="s">
        <v>25</v>
      </c>
      <c r="K44" t="s">
        <v>26</v>
      </c>
      <c r="L44" t="s">
        <v>160</v>
      </c>
      <c r="M44" t="str">
        <f t="shared" si="10"/>
        <v>INSERT INTO `directory` (`order`, `office`, `displayname`, `title`, `ext`, `personalTel`, `directTel`, `email`, `contacttype`)  VALUES ('43','8','Ben Wong','President','521','(416) 399-2311','(905) 752-3521','benw@livingproperties.com','Staff');</v>
      </c>
    </row>
    <row r="45" spans="1:13" x14ac:dyDescent="0.3">
      <c r="A45" s="5">
        <v>44</v>
      </c>
      <c r="B45" t="s">
        <v>180</v>
      </c>
      <c r="C45" t="s">
        <v>178</v>
      </c>
      <c r="D45">
        <v>8</v>
      </c>
      <c r="E45" t="s">
        <v>31</v>
      </c>
      <c r="G45" t="s">
        <v>88</v>
      </c>
      <c r="H45">
        <v>514</v>
      </c>
      <c r="I45" t="s">
        <v>89</v>
      </c>
      <c r="J45" t="s">
        <v>33</v>
      </c>
      <c r="K45" t="s">
        <v>34</v>
      </c>
      <c r="L45" t="s">
        <v>160</v>
      </c>
      <c r="M45" t="str">
        <f t="shared" si="10"/>
        <v>INSERT INTO `directory` (`order`, `office`, `displayname`, `title`, `ext`, `personalTel`, `directTel`, `email`, `contacttype`)  VALUES ('44','8','Winnie Tsui','Director of Operations','514','(647) 286-0145','(905) 752-3514 ','winniet@livingproperties.com','Staff');</v>
      </c>
    </row>
    <row r="46" spans="1:13" x14ac:dyDescent="0.3">
      <c r="A46" s="5">
        <v>45</v>
      </c>
      <c r="B46" t="s">
        <v>180</v>
      </c>
      <c r="C46" t="s">
        <v>178</v>
      </c>
      <c r="D46">
        <v>8</v>
      </c>
      <c r="E46" t="s">
        <v>100</v>
      </c>
      <c r="G46" t="s">
        <v>200</v>
      </c>
      <c r="H46">
        <v>286</v>
      </c>
      <c r="I46" t="s">
        <v>101</v>
      </c>
      <c r="J46" s="6" t="s">
        <v>193</v>
      </c>
      <c r="K46" s="4" t="s">
        <v>102</v>
      </c>
      <c r="L46" t="s">
        <v>160</v>
      </c>
      <c r="M46" t="str">
        <f t="shared" si="10"/>
        <v>INSERT INTO `directory` (`order`, `office`, `displayname`, `title`, `ext`, `personalTel`, `directTel`, `email`, `contacttype`)  VALUES ('45','8','Frederick Tang','Director of Business Development','286','(416) 618-5898','-','fredt@livingproperties.com','Staff');</v>
      </c>
    </row>
    <row r="47" spans="1:13" x14ac:dyDescent="0.3">
      <c r="A47" s="5">
        <v>46</v>
      </c>
      <c r="B47" t="s">
        <v>180</v>
      </c>
      <c r="C47" t="s">
        <v>178</v>
      </c>
      <c r="D47">
        <v>8</v>
      </c>
      <c r="E47" t="s">
        <v>90</v>
      </c>
      <c r="G47" t="s">
        <v>91</v>
      </c>
      <c r="H47">
        <v>512</v>
      </c>
      <c r="I47" t="s">
        <v>92</v>
      </c>
      <c r="J47" t="s">
        <v>93</v>
      </c>
      <c r="K47" t="s">
        <v>94</v>
      </c>
      <c r="L47" t="s">
        <v>160</v>
      </c>
      <c r="M47" t="str">
        <f t="shared" si="10"/>
        <v>INSERT INTO `directory` (`order`, `office`, `displayname`, `title`, `ext`, `personalTel`, `directTel`, `email`, `contacttype`)  VALUES ('46','8','Stanley Chow','Property Manager','512','(416) 277-6098','(905) 752-3512','stanleyc@livingproperties.com','Staff');</v>
      </c>
    </row>
    <row r="48" spans="1:13" x14ac:dyDescent="0.3">
      <c r="A48" s="5">
        <v>47</v>
      </c>
      <c r="B48" t="s">
        <v>180</v>
      </c>
      <c r="C48" t="s">
        <v>178</v>
      </c>
      <c r="D48">
        <v>8</v>
      </c>
      <c r="E48" t="s">
        <v>96</v>
      </c>
      <c r="G48" t="s">
        <v>91</v>
      </c>
      <c r="H48">
        <v>284</v>
      </c>
      <c r="I48" t="s">
        <v>97</v>
      </c>
      <c r="J48" t="s">
        <v>98</v>
      </c>
      <c r="K48" t="s">
        <v>99</v>
      </c>
      <c r="L48" t="s">
        <v>160</v>
      </c>
      <c r="M48" t="str">
        <f t="shared" si="10"/>
        <v>INSERT INTO `directory` (`order`, `office`, `displayname`, `title`, `ext`, `personalTel`, `directTel`, `email`, `contacttype`)  VALUES ('47','8','Richard Baksh','Property Manager','284','(647) 967-0088','(905) 258-0632','richardb@livingproperties.com','Staff');</v>
      </c>
    </row>
    <row r="49" spans="1:13" x14ac:dyDescent="0.3">
      <c r="A49" s="5">
        <v>48</v>
      </c>
      <c r="B49" t="s">
        <v>153</v>
      </c>
      <c r="C49" t="s">
        <v>184</v>
      </c>
      <c r="D49">
        <v>8</v>
      </c>
      <c r="E49" t="s">
        <v>206</v>
      </c>
      <c r="G49" t="s">
        <v>91</v>
      </c>
      <c r="H49" s="6">
        <v>517</v>
      </c>
      <c r="I49" s="6" t="s">
        <v>211</v>
      </c>
      <c r="J49" t="s">
        <v>95</v>
      </c>
      <c r="K49" s="4" t="s">
        <v>207</v>
      </c>
      <c r="L49" t="s">
        <v>160</v>
      </c>
      <c r="M49" t="str">
        <f>"INSERT INTO `directory` (`order`, `office`, `displayname`, `title`, `ext`, `personalTel`, `directTel`, `email`, `contacttype`)  VALUES ('" &amp; A49 &amp; "','" &amp; D49 &amp; "','" &amp; E49 &amp; "','" &amp; G49 &amp; "','" &amp; H49 &amp; "','" &amp; I49 &amp;  "','" &amp; J49 &amp;  "','" &amp; K49 &amp;  "','" &amp; L49 &amp; "');"</f>
        <v>INSERT INTO `directory` (`order`, `office`, `displayname`, `title`, `ext`, `personalTel`, `directTel`, `email`, `contacttype`)  VALUES ('48','8','Ken Kam','Property Manager','517','(647) 204-4455','(905) 477-2090','kenk@livingproperties.com','Staff');</v>
      </c>
    </row>
    <row r="50" spans="1:13" x14ac:dyDescent="0.3">
      <c r="A50" s="5">
        <v>49</v>
      </c>
      <c r="B50" t="s">
        <v>153</v>
      </c>
      <c r="C50" t="s">
        <v>184</v>
      </c>
      <c r="D50">
        <v>8</v>
      </c>
      <c r="E50" t="s">
        <v>281</v>
      </c>
      <c r="G50" t="s">
        <v>91</v>
      </c>
      <c r="H50" s="6">
        <v>520</v>
      </c>
      <c r="I50" s="6" t="s">
        <v>283</v>
      </c>
      <c r="J50" t="s">
        <v>95</v>
      </c>
      <c r="K50" s="4" t="s">
        <v>282</v>
      </c>
      <c r="L50" t="s">
        <v>160</v>
      </c>
      <c r="M50" t="str">
        <f>"INSERT INTO `directory` (`order`, `office`, `displayname`, `title`, `ext`, `personalTel`, `directTel`, `email`, `contacttype`)  VALUES ('" &amp; A50 &amp; "','" &amp; D50 &amp; "','" &amp; E50 &amp; "','" &amp; G50 &amp; "','" &amp; H50 &amp; "','" &amp; I50 &amp;  "','" &amp; J50 &amp;  "','" &amp; K50 &amp;  "','" &amp; L50 &amp; "');"</f>
        <v>INSERT INTO `directory` (`order`, `office`, `displayname`, `title`, `ext`, `personalTel`, `directTel`, `email`, `contacttype`)  VALUES ('49','8','Raymond Chin','Property Manager','520','(437) 331-6038','(905) 477-2090','raymondc@livingproperties.com','Staff');</v>
      </c>
    </row>
    <row r="51" spans="1:13" x14ac:dyDescent="0.3">
      <c r="A51" s="5">
        <v>50</v>
      </c>
      <c r="B51" t="s">
        <v>180</v>
      </c>
      <c r="C51" t="s">
        <v>178</v>
      </c>
      <c r="D51">
        <v>8</v>
      </c>
      <c r="E51" t="s">
        <v>292</v>
      </c>
      <c r="G51" t="s">
        <v>91</v>
      </c>
      <c r="H51">
        <v>168</v>
      </c>
      <c r="I51" s="6" t="s">
        <v>294</v>
      </c>
      <c r="J51" t="s">
        <v>95</v>
      </c>
      <c r="K51" s="4" t="s">
        <v>293</v>
      </c>
      <c r="L51" t="s">
        <v>160</v>
      </c>
      <c r="M51" t="str">
        <f t="shared" ref="M51" si="13">"INSERT INTO `directory` (`order`, `office`, `displayname`, `title`, `ext`, `personalTel`, `directTel`, `email`, `contacttype`)  VALUES ('" &amp; A51 &amp; "','" &amp; D51 &amp; "','" &amp; E51 &amp; "','" &amp; G51 &amp; "','" &amp; H51 &amp; "','" &amp; I51 &amp;  "','" &amp; J51 &amp;  "','" &amp; K51 &amp;  "','" &amp; L51 &amp; "');"</f>
        <v>INSERT INTO `directory` (`order`, `office`, `displayname`, `title`, `ext`, `personalTel`, `directTel`, `email`, `contacttype`)  VALUES ('50','8','Thomas Lee','Property Manager','168','(416) 567-4274','(905) 477-2090','Thomasl@livingproperties.com','Staff');</v>
      </c>
    </row>
    <row r="52" spans="1:13" x14ac:dyDescent="0.3">
      <c r="A52" s="5">
        <v>51</v>
      </c>
      <c r="B52" t="s">
        <v>180</v>
      </c>
      <c r="C52" t="s">
        <v>178</v>
      </c>
      <c r="D52">
        <v>8</v>
      </c>
      <c r="E52" t="s">
        <v>316</v>
      </c>
      <c r="G52" t="s">
        <v>91</v>
      </c>
      <c r="H52">
        <v>168</v>
      </c>
      <c r="I52" s="6" t="s">
        <v>13</v>
      </c>
      <c r="J52" t="s">
        <v>95</v>
      </c>
      <c r="K52" s="4" t="s">
        <v>317</v>
      </c>
      <c r="L52" t="s">
        <v>160</v>
      </c>
      <c r="M52" t="str">
        <f t="shared" ref="M52" si="14">"INSERT INTO `directory` (`order`, `office`, `displayname`, `title`, `ext`, `personalTel`, `directTel`, `email`, `contacttype`)  VALUES ('" &amp; A52 &amp; "','" &amp; D52 &amp; "','" &amp; E52 &amp; "','" &amp; G52 &amp; "','" &amp; H52 &amp; "','" &amp; I52 &amp;  "','" &amp; J52 &amp;  "','" &amp; K52 &amp;  "','" &amp; L52 &amp; "');"</f>
        <v>INSERT INTO `directory` (`order`, `office`, `displayname`, `title`, `ext`, `personalTel`, `directTel`, `email`, `contacttype`)  VALUES ('51','8','Stanley Wu','Property Manager','168','---','(905) 477-2090','stanleyw@livingproperties.com','Staff');</v>
      </c>
    </row>
    <row r="53" spans="1:13" x14ac:dyDescent="0.3">
      <c r="A53" s="5">
        <v>52</v>
      </c>
      <c r="B53" t="s">
        <v>180</v>
      </c>
      <c r="C53" t="s">
        <v>178</v>
      </c>
      <c r="D53">
        <v>8</v>
      </c>
      <c r="E53" t="s">
        <v>110</v>
      </c>
      <c r="G53" t="s">
        <v>35</v>
      </c>
      <c r="H53">
        <v>210</v>
      </c>
      <c r="I53" s="6" t="s">
        <v>13</v>
      </c>
      <c r="J53" s="6" t="s">
        <v>13</v>
      </c>
      <c r="K53" t="s">
        <v>111</v>
      </c>
      <c r="L53" t="s">
        <v>160</v>
      </c>
      <c r="M53" t="str">
        <f t="shared" si="10"/>
        <v>INSERT INTO `directory` (`order`, `office`, `displayname`, `title`, `ext`, `personalTel`, `directTel`, `email`, `contacttype`)  VALUES ('52','8','Loretta Leung','Executive Assistant','210','---','---','lorettal@livingproperties.com','Staff');</v>
      </c>
    </row>
    <row r="54" spans="1:13" x14ac:dyDescent="0.3">
      <c r="A54" s="5">
        <v>53</v>
      </c>
      <c r="B54" t="s">
        <v>180</v>
      </c>
      <c r="C54" t="s">
        <v>178</v>
      </c>
      <c r="D54">
        <v>8</v>
      </c>
      <c r="E54" t="s">
        <v>103</v>
      </c>
      <c r="G54" t="s">
        <v>276</v>
      </c>
      <c r="H54">
        <v>518</v>
      </c>
      <c r="I54" s="6" t="s">
        <v>13</v>
      </c>
      <c r="J54" t="s">
        <v>156</v>
      </c>
      <c r="K54" t="s">
        <v>104</v>
      </c>
      <c r="L54" t="s">
        <v>160</v>
      </c>
      <c r="M54" t="str">
        <f t="shared" ref="M54" si="15">"INSERT INTO `directory` (`order`, `office`, `displayname`, `title`, `ext`, `personalTel`, `directTel`, `email`, `contacttype`)  VALUES ('" &amp; A54 &amp; "','" &amp; D54 &amp; "','" &amp; E54 &amp; "','" &amp; G54 &amp; "','" &amp; H54 &amp; "','" &amp; I54 &amp;  "','" &amp; J54 &amp;  "','" &amp; K54 &amp;  "','" &amp; L54 &amp; "');"</f>
        <v>INSERT INTO `directory` (`order`, `office`, `displayname`, `title`, `ext`, `personalTel`, `directTel`, `email`, `contacttype`)  VALUES ('53','8','Simon Li','Senior Accountant','518','---','(905) 752-3518','simonl@livingproperties.com','Staff');</v>
      </c>
    </row>
    <row r="55" spans="1:13" x14ac:dyDescent="0.3">
      <c r="A55" s="5">
        <v>54</v>
      </c>
      <c r="B55" t="s">
        <v>180</v>
      </c>
      <c r="C55" t="s">
        <v>178</v>
      </c>
      <c r="D55">
        <v>8</v>
      </c>
      <c r="E55" t="s">
        <v>209</v>
      </c>
      <c r="G55" t="s">
        <v>181</v>
      </c>
      <c r="H55">
        <v>281</v>
      </c>
      <c r="I55" s="6" t="s">
        <v>13</v>
      </c>
      <c r="J55" s="6" t="s">
        <v>13</v>
      </c>
      <c r="K55" s="4" t="s">
        <v>210</v>
      </c>
      <c r="L55" t="s">
        <v>160</v>
      </c>
      <c r="M55" t="str">
        <f t="shared" ref="M55" si="16">"INSERT INTO `directory` (`order`, `office`, `displayname`, `title`, `ext`, `personalTel`, `directTel`, `email`, `contacttype`)  VALUES ('" &amp; A55 &amp; "','" &amp; D55 &amp; "','" &amp; E55 &amp; "','" &amp; G55 &amp; "','" &amp; H55 &amp; "','" &amp; I55 &amp;  "','" &amp; J55 &amp;  "','" &amp; K55 &amp;  "','" &amp; L55 &amp; "');"</f>
        <v>INSERT INTO `directory` (`order`, `office`, `displayname`, `title`, `ext`, `personalTel`, `directTel`, `email`, `contacttype`)  VALUES ('54','8','Nicole Leung','Property Accountant','281','---','---','nicolel@livingproperties.com','Staff');</v>
      </c>
    </row>
    <row r="56" spans="1:13" x14ac:dyDescent="0.3">
      <c r="A56" s="5">
        <v>55</v>
      </c>
      <c r="B56" t="s">
        <v>180</v>
      </c>
      <c r="C56" t="s">
        <v>178</v>
      </c>
      <c r="D56">
        <v>8</v>
      </c>
      <c r="E56" t="s">
        <v>105</v>
      </c>
      <c r="G56" t="s">
        <v>108</v>
      </c>
      <c r="H56">
        <v>523</v>
      </c>
      <c r="I56" s="6" t="s">
        <v>13</v>
      </c>
      <c r="J56" t="s">
        <v>157</v>
      </c>
      <c r="K56" t="s">
        <v>107</v>
      </c>
      <c r="L56" t="s">
        <v>160</v>
      </c>
      <c r="M56" t="str">
        <f t="shared" si="10"/>
        <v>INSERT INTO `directory` (`order`, `office`, `displayname`, `title`, `ext`, `personalTel`, `directTel`, `email`, `contacttype`)  VALUES ('55','8','Vivian Lum','Accounts Receivable Clerk','523','---','(905) 752-3523','vivianl@livingproperties.com','Staff');</v>
      </c>
    </row>
    <row r="57" spans="1:13" x14ac:dyDescent="0.3">
      <c r="A57" s="5">
        <v>56</v>
      </c>
      <c r="B57" t="s">
        <v>180</v>
      </c>
      <c r="C57" t="s">
        <v>178</v>
      </c>
      <c r="D57">
        <v>8</v>
      </c>
      <c r="E57" t="s">
        <v>204</v>
      </c>
      <c r="G57" t="s">
        <v>275</v>
      </c>
      <c r="H57">
        <v>223</v>
      </c>
      <c r="I57" s="6" t="s">
        <v>13</v>
      </c>
      <c r="J57" s="6" t="s">
        <v>13</v>
      </c>
      <c r="K57" s="4" t="s">
        <v>205</v>
      </c>
      <c r="L57" t="s">
        <v>160</v>
      </c>
      <c r="M57" t="str">
        <f>"INSERT INTO `directory` (`order`, `office`, `displayname`, `title`, `ext`, `personalTel`, `directTel`, `email`, `contacttype`)  VALUES ('" &amp; A57 &amp; "','" &amp; D57 &amp; "','" &amp; E57 &amp; "','" &amp; G57 &amp; "','" &amp; H57 &amp; "','" &amp; I57 &amp;  "','" &amp; J57 &amp;  "','" &amp; K57 &amp;  "','" &amp; L57 &amp; "');"</f>
        <v>INSERT INTO `directory` (`order`, `office`, `displayname`, `title`, `ext`, `personalTel`, `directTel`, `email`, `contacttype`)  VALUES ('56','8','Jessica Lee','Accounting Clerk ','223','---','---','jessical@livingproperties.com','Staff');</v>
      </c>
    </row>
    <row r="58" spans="1:13" x14ac:dyDescent="0.3">
      <c r="A58" s="5">
        <v>57</v>
      </c>
      <c r="B58" t="s">
        <v>180</v>
      </c>
      <c r="C58" t="s">
        <v>178</v>
      </c>
      <c r="D58">
        <v>8</v>
      </c>
      <c r="E58" t="s">
        <v>234</v>
      </c>
      <c r="G58" t="s">
        <v>109</v>
      </c>
      <c r="H58">
        <v>172</v>
      </c>
      <c r="I58" s="6" t="s">
        <v>13</v>
      </c>
      <c r="J58" s="6" t="s">
        <v>13</v>
      </c>
      <c r="K58" s="4" t="s">
        <v>235</v>
      </c>
      <c r="L58" t="s">
        <v>160</v>
      </c>
      <c r="M58" t="str">
        <f t="shared" ref="M58" si="17">"INSERT INTO `directory` (`order`, `office`, `displayname`, `title`, `ext`, `personalTel`, `directTel`, `email`, `contacttype`)  VALUES ('" &amp; A58 &amp; "','" &amp; D58 &amp; "','" &amp; E58 &amp; "','" &amp; G58 &amp; "','" &amp; H58 &amp; "','" &amp; I58 &amp;  "','" &amp; J58 &amp;  "','" &amp; K58 &amp;  "','" &amp; L58 &amp; "');"</f>
        <v>INSERT INTO `directory` (`order`, `office`, `displayname`, `title`, `ext`, `personalTel`, `directTel`, `email`, `contacttype`)  VALUES ('57','8','Rebecca Lau','Administrative Assistant','172','---','---','rebeccal@livingproperties.com','Staff');</v>
      </c>
    </row>
    <row r="59" spans="1:13" x14ac:dyDescent="0.3">
      <c r="A59" s="5">
        <v>58</v>
      </c>
      <c r="B59" t="s">
        <v>180</v>
      </c>
      <c r="C59" t="s">
        <v>178</v>
      </c>
      <c r="D59">
        <v>8</v>
      </c>
      <c r="E59" t="s">
        <v>279</v>
      </c>
      <c r="G59" t="s">
        <v>109</v>
      </c>
      <c r="H59">
        <v>182</v>
      </c>
      <c r="I59" s="6" t="s">
        <v>13</v>
      </c>
      <c r="J59" s="6" t="s">
        <v>13</v>
      </c>
      <c r="K59" s="4" t="s">
        <v>280</v>
      </c>
      <c r="L59" t="s">
        <v>160</v>
      </c>
      <c r="M59" t="str">
        <f t="shared" ref="M59" si="18">"INSERT INTO `directory` (`order`, `office`, `displayname`, `title`, `ext`, `personalTel`, `directTel`, `email`, `contacttype`)  VALUES ('" &amp; A59 &amp; "','" &amp; D59 &amp; "','" &amp; E59 &amp; "','" &amp; G59 &amp; "','" &amp; H59 &amp; "','" &amp; I59 &amp;  "','" &amp; J59 &amp;  "','" &amp; K59 &amp;  "','" &amp; L59 &amp; "');"</f>
        <v>INSERT INTO `directory` (`order`, `office`, `displayname`, `title`, `ext`, `personalTel`, `directTel`, `email`, `contacttype`)  VALUES ('58','8','Kelvin Chan','Administrative Assistant','182','---','---','kelvinc@livingproperties.com','Staff');</v>
      </c>
    </row>
    <row r="60" spans="1:13" x14ac:dyDescent="0.3">
      <c r="A60" s="5">
        <v>59</v>
      </c>
      <c r="B60" t="s">
        <v>180</v>
      </c>
      <c r="C60" t="s">
        <v>178</v>
      </c>
      <c r="D60">
        <v>8</v>
      </c>
      <c r="E60" t="s">
        <v>321</v>
      </c>
      <c r="G60" t="s">
        <v>182</v>
      </c>
      <c r="H60" s="6" t="s">
        <v>13</v>
      </c>
      <c r="I60" s="6" t="s">
        <v>13</v>
      </c>
      <c r="J60" t="s">
        <v>95</v>
      </c>
      <c r="K60" s="4" t="s">
        <v>322</v>
      </c>
      <c r="L60" t="s">
        <v>160</v>
      </c>
      <c r="M60" t="str">
        <f t="shared" si="10"/>
        <v>INSERT INTO `directory` (`order`, `office`, `displayname`, `title`, `ext`, `personalTel`, `directTel`, `email`, `contacttype`)  VALUES ('59','8','Gus B','Handyman','---','---','(905) 477-2090','gusb@livcontrustion.ca','Staff');</v>
      </c>
    </row>
    <row r="61" spans="1:13" x14ac:dyDescent="0.3">
      <c r="A61" s="5">
        <v>60</v>
      </c>
      <c r="B61" t="s">
        <v>180</v>
      </c>
      <c r="C61" t="s">
        <v>178</v>
      </c>
      <c r="D61">
        <v>8</v>
      </c>
      <c r="E61" t="s">
        <v>155</v>
      </c>
      <c r="G61" t="s">
        <v>106</v>
      </c>
      <c r="H61">
        <v>229</v>
      </c>
      <c r="I61" s="6" t="s">
        <v>13</v>
      </c>
      <c r="J61" s="6" t="s">
        <v>13</v>
      </c>
      <c r="K61" t="s">
        <v>112</v>
      </c>
      <c r="L61" t="s">
        <v>160</v>
      </c>
      <c r="M61" t="str">
        <f t="shared" si="10"/>
        <v>INSERT INTO `directory` (`order`, `office`, `displayname`, `title`, `ext`, `personalTel`, `directTel`, `email`, `contacttype`)  VALUES ('60','8','Matthew Wong','Accounting Clerk','229','---','---','mattheww@livingproperties.com','Staff');</v>
      </c>
    </row>
    <row r="62" spans="1:13" x14ac:dyDescent="0.3">
      <c r="A62" s="5">
        <v>61</v>
      </c>
      <c r="B62" t="s">
        <v>113</v>
      </c>
      <c r="C62" t="s">
        <v>183</v>
      </c>
      <c r="D62">
        <v>9</v>
      </c>
      <c r="E62" t="s">
        <v>114</v>
      </c>
      <c r="G62" t="s">
        <v>115</v>
      </c>
      <c r="H62" s="6" t="s">
        <v>195</v>
      </c>
      <c r="I62" s="6" t="s">
        <v>195</v>
      </c>
      <c r="J62" t="s">
        <v>116</v>
      </c>
      <c r="K62" s="6" t="s">
        <v>195</v>
      </c>
      <c r="L62" t="s">
        <v>158</v>
      </c>
      <c r="M62" t="str">
        <f t="shared" si="10"/>
        <v>INSERT INTO `directory` (`order`, `office`, `displayname`, `title`, `ext`, `personalTel`, `directTel`, `email`, `contacttype`)  VALUES ('61','9','Centro Towers Office','25 Town Centre Crt, Scarborough, ON, M1P 0B4','--','--','T: (416) 290-1242','--','Office Header');</v>
      </c>
    </row>
    <row r="63" spans="1:13" x14ac:dyDescent="0.3">
      <c r="A63" s="5">
        <v>62</v>
      </c>
      <c r="B63" t="s">
        <v>113</v>
      </c>
      <c r="C63" t="s">
        <v>183</v>
      </c>
      <c r="D63">
        <v>9</v>
      </c>
      <c r="E63" t="s">
        <v>117</v>
      </c>
      <c r="G63" t="s">
        <v>91</v>
      </c>
      <c r="H63" s="6" t="s">
        <v>13</v>
      </c>
      <c r="I63" t="s">
        <v>118</v>
      </c>
      <c r="J63" t="s">
        <v>119</v>
      </c>
      <c r="K63" t="s">
        <v>120</v>
      </c>
      <c r="L63" t="s">
        <v>160</v>
      </c>
      <c r="M63" t="str">
        <f t="shared" ref="M63:M85" si="19">"INSERT INTO `directory` (`order`, `office`, `displayname`, `title`, `ext`, `personalTel`, `directTel`, `email`, `contacttype`)  VALUES ('" &amp; A63 &amp; "','" &amp; D63 &amp; "','" &amp; E63 &amp; "','" &amp; G63 &amp; "','" &amp; H63 &amp; "','" &amp; I63 &amp;  "','" &amp; J63 &amp;  "','" &amp; K63 &amp;  "','" &amp; L63 &amp; "');"</f>
        <v>INSERT INTO `directory` (`order`, `office`, `displayname`, `title`, `ext`, `personalTel`, `directTel`, `email`, `contacttype`)  VALUES ('62','9','Henry Fu','Property Manager','---','(416) 278-2953','(416) 290-1242','henry@centrotowers.com','Staff');</v>
      </c>
    </row>
    <row r="64" spans="1:13" x14ac:dyDescent="0.3">
      <c r="A64" s="5">
        <v>63</v>
      </c>
      <c r="B64" t="s">
        <v>113</v>
      </c>
      <c r="C64" t="s">
        <v>183</v>
      </c>
      <c r="D64">
        <v>9</v>
      </c>
      <c r="E64" t="s">
        <v>121</v>
      </c>
      <c r="G64" t="s">
        <v>122</v>
      </c>
      <c r="H64" s="6" t="s">
        <v>13</v>
      </c>
      <c r="I64" s="6" t="s">
        <v>13</v>
      </c>
      <c r="J64" t="s">
        <v>119</v>
      </c>
      <c r="K64" t="s">
        <v>123</v>
      </c>
      <c r="L64" t="s">
        <v>160</v>
      </c>
      <c r="M64" t="str">
        <f t="shared" si="19"/>
        <v>INSERT INTO `directory` (`order`, `office`, `displayname`, `title`, `ext`, `personalTel`, `directTel`, `email`, `contacttype`)  VALUES ('63','9','Sophia Yip','Property Administrator','---','---','(416) 290-1242','sophia@centrotowers.com','Staff');</v>
      </c>
    </row>
    <row r="65" spans="1:13" x14ac:dyDescent="0.3">
      <c r="A65" s="5">
        <v>64</v>
      </c>
      <c r="B65" t="s">
        <v>113</v>
      </c>
      <c r="C65" t="s">
        <v>183</v>
      </c>
      <c r="D65">
        <v>9</v>
      </c>
      <c r="E65" t="s">
        <v>295</v>
      </c>
      <c r="G65" t="s">
        <v>298</v>
      </c>
      <c r="H65" s="6" t="s">
        <v>13</v>
      </c>
      <c r="I65" s="6" t="s">
        <v>13</v>
      </c>
      <c r="J65" s="6" t="s">
        <v>299</v>
      </c>
      <c r="K65" s="6" t="s">
        <v>13</v>
      </c>
      <c r="M65" t="str">
        <f>"INSERT INTO `directory` (`order`, `office`, `displayname`, `title`, `ext`, `personalTel`, `directTel`, `email`, `contacttype`)  VALUES ('" &amp; A65 &amp; "','" &amp; D65 &amp; "','" &amp; E65 &amp; "','" &amp; G65 &amp; "','" &amp; H65 &amp; "','" &amp; I65 &amp;  "','" &amp; J65 &amp;  "','" &amp; K65 &amp;  "','" &amp; L65 &amp; "');"</f>
        <v>INSERT INTO `directory` (`order`, `office`, `displayname`, `title`, `ext`, `personalTel`, `directTel`, `email`, `contacttype`)  VALUES ('64','9','Security Desk ','Centro Security Desk ','---','---','(416) 296-0099','---','');</v>
      </c>
    </row>
    <row r="66" spans="1:13" x14ac:dyDescent="0.3">
      <c r="A66" s="5">
        <v>65</v>
      </c>
      <c r="B66" t="s">
        <v>138</v>
      </c>
      <c r="C66" t="s">
        <v>185</v>
      </c>
      <c r="D66">
        <v>11</v>
      </c>
      <c r="E66" t="s">
        <v>139</v>
      </c>
      <c r="G66" t="s">
        <v>140</v>
      </c>
      <c r="H66" s="6" t="s">
        <v>195</v>
      </c>
      <c r="I66" s="6" t="s">
        <v>195</v>
      </c>
      <c r="J66" t="s">
        <v>141</v>
      </c>
      <c r="K66" s="4" t="s">
        <v>222</v>
      </c>
      <c r="L66" t="s">
        <v>158</v>
      </c>
      <c r="M66" t="str">
        <f t="shared" si="19"/>
        <v>INSERT INTO `directory` (`order`, `office`, `displayname`, `title`, `ext`, `personalTel`, `directTel`, `email`, `contacttype`)  VALUES ('65','11','EQ1 Office','70 Town Centre Court, Scarborough, ON, M1P 0B2','--','--','T: (416) 279-0603 ','eq1@livingproperties.com','Office Header');</v>
      </c>
    </row>
    <row r="67" spans="1:13" x14ac:dyDescent="0.3">
      <c r="A67" s="5">
        <v>66</v>
      </c>
      <c r="B67" t="s">
        <v>138</v>
      </c>
      <c r="C67" t="s">
        <v>185</v>
      </c>
      <c r="D67">
        <v>11</v>
      </c>
      <c r="E67" t="s">
        <v>226</v>
      </c>
      <c r="G67" t="s">
        <v>91</v>
      </c>
      <c r="H67" s="6" t="s">
        <v>13</v>
      </c>
      <c r="I67" t="s">
        <v>223</v>
      </c>
      <c r="J67" t="s">
        <v>142</v>
      </c>
      <c r="K67" s="4" t="s">
        <v>236</v>
      </c>
      <c r="L67" t="s">
        <v>160</v>
      </c>
      <c r="M67" t="str">
        <f t="shared" si="19"/>
        <v>INSERT INTO `directory` (`order`, `office`, `displayname`, `title`, `ext`, `personalTel`, `directTel`, `email`, `contacttype`)  VALUES ('66','11','Ming Ip','Property Manager','---','(647) 286-0147','(416) 279-0603 ','eq1manager@livingproperties.com','Staff');</v>
      </c>
    </row>
    <row r="68" spans="1:13" x14ac:dyDescent="0.3">
      <c r="A68" s="5">
        <v>67</v>
      </c>
      <c r="B68" t="s">
        <v>138</v>
      </c>
      <c r="C68" t="s">
        <v>185</v>
      </c>
      <c r="D68">
        <v>11</v>
      </c>
      <c r="E68" t="s">
        <v>295</v>
      </c>
      <c r="G68" t="s">
        <v>304</v>
      </c>
      <c r="H68" s="6" t="s">
        <v>13</v>
      </c>
      <c r="I68" s="6" t="s">
        <v>13</v>
      </c>
      <c r="J68" s="13" t="s">
        <v>302</v>
      </c>
      <c r="K68" s="6" t="s">
        <v>13</v>
      </c>
      <c r="M68" t="str">
        <f>"INSERT INTO `directory` (`order`, `office`, `displayname`, `title`, `ext`, `personalTel`, `directTel`, `email`, `contacttype`)  VALUES ('" &amp; A68 &amp; "','" &amp; D68 &amp; "','" &amp; E68 &amp; "','" &amp; G68 &amp; "','" &amp; H68 &amp; "','" &amp; I68 &amp;  "','" &amp; J68 &amp;  "','" &amp; K68 &amp;  "','" &amp; L68 &amp; "');"</f>
        <v>INSERT INTO `directory` (`order`, `office`, `displayname`, `title`, `ext`, `personalTel`, `directTel`, `email`, `contacttype`)  VALUES ('67','11','Security Desk ','EQ1 Security Desk ','---','---','(416) 279-1894','---','');</v>
      </c>
    </row>
    <row r="69" spans="1:13" x14ac:dyDescent="0.3">
      <c r="A69" s="5">
        <v>68</v>
      </c>
      <c r="B69" t="s">
        <v>300</v>
      </c>
      <c r="C69" t="s">
        <v>301</v>
      </c>
      <c r="D69">
        <v>12</v>
      </c>
      <c r="E69" t="s">
        <v>266</v>
      </c>
      <c r="G69" t="s">
        <v>268</v>
      </c>
      <c r="H69" s="6" t="s">
        <v>195</v>
      </c>
      <c r="I69" s="6" t="s">
        <v>195</v>
      </c>
      <c r="J69" t="s">
        <v>269</v>
      </c>
      <c r="K69" s="6" t="s">
        <v>195</v>
      </c>
      <c r="L69" t="s">
        <v>158</v>
      </c>
      <c r="M69" t="str">
        <f t="shared" ref="M69:M70" si="20">"INSERT INTO `directory` (`order`, `office`, `displayname`, `title`, `ext`, `personalTel`, `directTel`, `email`, `contacttype`)  VALUES ('" &amp; A69 &amp; "','" &amp; D69 &amp; "','" &amp; E69 &amp; "','" &amp; G69 &amp; "','" &amp; H69 &amp; "','" &amp; I69 &amp;  "','" &amp; J69 &amp;  "','" &amp; K69 &amp;  "','" &amp; L69 &amp; "');"</f>
        <v>INSERT INTO `directory` (`order`, `office`, `displayname`, `title`, `ext`, `personalTel`, `directTel`, `email`, `contacttype`)  VALUES ('68','12','EQ2 Office','60 Town Centre Court, Scarborough, ON, M1P 0B1','--','--','T: (416) 279-0591 ','--','Office Header');</v>
      </c>
    </row>
    <row r="70" spans="1:13" x14ac:dyDescent="0.3">
      <c r="A70" s="5">
        <v>69</v>
      </c>
      <c r="B70" t="s">
        <v>300</v>
      </c>
      <c r="C70" t="s">
        <v>301</v>
      </c>
      <c r="D70">
        <v>12</v>
      </c>
      <c r="E70" t="s">
        <v>267</v>
      </c>
      <c r="G70" t="s">
        <v>91</v>
      </c>
      <c r="H70" s="6" t="s">
        <v>13</v>
      </c>
      <c r="I70" t="s">
        <v>271</v>
      </c>
      <c r="J70" t="s">
        <v>270</v>
      </c>
      <c r="K70" s="4" t="s">
        <v>272</v>
      </c>
      <c r="L70" t="s">
        <v>160</v>
      </c>
      <c r="M70" t="str">
        <f t="shared" si="20"/>
        <v>INSERT INTO `directory` (`order`, `office`, `displayname`, `title`, `ext`, `personalTel`, `directTel`, `email`, `contacttype`)  VALUES ('69','12','Aaron Ma','Property Manager','---','(416) 684-2236','(416) 279-0591','eq2manager@livingproperties.com','Staff');</v>
      </c>
    </row>
    <row r="71" spans="1:13" x14ac:dyDescent="0.3">
      <c r="A71" s="5">
        <v>70</v>
      </c>
      <c r="B71" t="s">
        <v>300</v>
      </c>
      <c r="C71" t="s">
        <v>301</v>
      </c>
      <c r="D71">
        <v>12</v>
      </c>
      <c r="E71" t="s">
        <v>295</v>
      </c>
      <c r="G71" t="s">
        <v>305</v>
      </c>
      <c r="H71" s="6" t="s">
        <v>13</v>
      </c>
      <c r="I71" s="6" t="s">
        <v>13</v>
      </c>
      <c r="J71" t="s">
        <v>303</v>
      </c>
      <c r="K71" s="6" t="s">
        <v>13</v>
      </c>
      <c r="M71" t="str">
        <f>"INSERT INTO `directory` (`order`, `office`, `displayname`, `title`, `ext`, `personalTel`, `directTel`, `email`, `contacttype`)  VALUES ('" &amp; A71 &amp; "','" &amp; D71 &amp; "','" &amp; E71 &amp; "','" &amp; G71 &amp; "','" &amp; H71 &amp; "','" &amp; I71 &amp;  "','" &amp; J71 &amp;  "','" &amp; K71 &amp;  "','" &amp; L71 &amp; "');"</f>
        <v>INSERT INTO `directory` (`order`, `office`, `displayname`, `title`, `ext`, `personalTel`, `directTel`, `email`, `contacttype`)  VALUES ('70','12','Security Desk ','EQ2 Security Desk ','---','---','(416) 279-1211','---','');</v>
      </c>
    </row>
    <row r="72" spans="1:13" x14ac:dyDescent="0.3">
      <c r="A72" s="5">
        <v>71</v>
      </c>
      <c r="B72" t="s">
        <v>213</v>
      </c>
      <c r="C72" t="s">
        <v>214</v>
      </c>
      <c r="D72">
        <v>13</v>
      </c>
      <c r="E72" t="s">
        <v>216</v>
      </c>
      <c r="G72" t="s">
        <v>217</v>
      </c>
      <c r="H72" s="6" t="s">
        <v>195</v>
      </c>
      <c r="I72" s="6" t="s">
        <v>195</v>
      </c>
      <c r="J72" s="6" t="s">
        <v>233</v>
      </c>
      <c r="K72" s="6" t="s">
        <v>195</v>
      </c>
      <c r="L72" t="s">
        <v>158</v>
      </c>
      <c r="M72" t="str">
        <f t="shared" si="19"/>
        <v>INSERT INTO `directory` (`order`, `office`, `displayname`, `title`, `ext`, `personalTel`, `directTel`, `email`, `contacttype`)  VALUES ('71','13','Alton Tower Office','160 Alton Towers Cir, Toronto, ON, M1V 4X8','--','--','T: (437)-533-1208','--','Office Header');</v>
      </c>
    </row>
    <row r="73" spans="1:13" x14ac:dyDescent="0.3">
      <c r="A73" s="5">
        <v>72</v>
      </c>
      <c r="B73" t="s">
        <v>213</v>
      </c>
      <c r="C73" t="s">
        <v>214</v>
      </c>
      <c r="D73">
        <v>13</v>
      </c>
      <c r="E73" t="s">
        <v>206</v>
      </c>
      <c r="G73" t="s">
        <v>91</v>
      </c>
      <c r="H73" s="6" t="s">
        <v>13</v>
      </c>
      <c r="I73" s="6" t="s">
        <v>211</v>
      </c>
      <c r="J73" t="s">
        <v>95</v>
      </c>
      <c r="K73" s="4" t="s">
        <v>207</v>
      </c>
      <c r="L73" t="s">
        <v>160</v>
      </c>
      <c r="M73" t="str">
        <f>"INSERT INTO `directory` (`order`, `office`, `displayname`, `title`, `ext`, `personalTel`, `directTel`, `email`, `contacttype`)  VALUES ('" &amp; A73 &amp; "','" &amp; D73 &amp; "','" &amp; E73 &amp; "','" &amp; G73 &amp; "','" &amp; H73 &amp; "','" &amp; I73 &amp;  "','" &amp; J73 &amp;  "','" &amp; K73 &amp;  "','" &amp; L73 &amp; "');"</f>
        <v>INSERT INTO `directory` (`order`, `office`, `displayname`, `title`, `ext`, `personalTel`, `directTel`, `email`, `contacttype`)  VALUES ('72','13','Ken Kam','Property Manager','---','(647) 204-4455','(905) 477-2090','kenk@livingproperties.com','Staff');</v>
      </c>
    </row>
    <row r="74" spans="1:13" x14ac:dyDescent="0.3">
      <c r="A74" s="5">
        <v>73</v>
      </c>
      <c r="B74" t="s">
        <v>213</v>
      </c>
      <c r="C74" t="s">
        <v>214</v>
      </c>
      <c r="D74">
        <v>13</v>
      </c>
      <c r="E74" t="s">
        <v>232</v>
      </c>
      <c r="G74" t="s">
        <v>109</v>
      </c>
      <c r="H74" s="6" t="s">
        <v>13</v>
      </c>
      <c r="I74" s="6" t="s">
        <v>227</v>
      </c>
      <c r="J74" s="6" t="s">
        <v>13</v>
      </c>
      <c r="K74" s="4" t="s">
        <v>215</v>
      </c>
      <c r="L74" t="s">
        <v>160</v>
      </c>
      <c r="M74" t="str">
        <f>"INSERT INTO `directory` (`order`, `office`, `displayname`, `title`, `ext`, `personalTel`, `directTel`, `email`, `contacttype`)  VALUES ('" &amp; A74 &amp; "','" &amp; D74 &amp; "','" &amp; E74 &amp; "','" &amp; G74 &amp; "','" &amp; H74 &amp; "','" &amp; I74 &amp;  "','" &amp; J74 &amp;  "','" &amp; K74 &amp;  "','" &amp; L74 &amp; "');"</f>
        <v>INSERT INTO `directory` (`order`, `office`, `displayname`, `title`, `ext`, `personalTel`, `directTel`, `email`, `contacttype`)  VALUES ('73','13','Christie Ip','Administrative Assistant','---','(437)-533-1208','---','optima2@livingproperties.com ','Staff');</v>
      </c>
    </row>
    <row r="75" spans="1:13" x14ac:dyDescent="0.3">
      <c r="A75" s="5">
        <v>74</v>
      </c>
      <c r="B75" t="s">
        <v>213</v>
      </c>
      <c r="C75" t="s">
        <v>214</v>
      </c>
      <c r="D75">
        <v>13</v>
      </c>
      <c r="E75" t="s">
        <v>295</v>
      </c>
      <c r="G75" t="s">
        <v>296</v>
      </c>
      <c r="H75" s="6" t="s">
        <v>13</v>
      </c>
      <c r="I75" s="6" t="s">
        <v>13</v>
      </c>
      <c r="J75" s="6" t="s">
        <v>297</v>
      </c>
      <c r="K75" s="6" t="s">
        <v>13</v>
      </c>
      <c r="L75" t="s">
        <v>160</v>
      </c>
      <c r="M75" t="str">
        <f>"INSERT INTO `directory` (`order`, `office`, `displayname`, `title`, `ext`, `personalTel`, `directTel`, `email`, `contacttype`)  VALUES ('" &amp; A75 &amp; "','" &amp; D75 &amp; "','" &amp; E75 &amp; "','" &amp; G75 &amp; "','" &amp; H75 &amp; "','" &amp; I75 &amp;  "','" &amp; J75 &amp;  "','" &amp; K75 &amp;  "','" &amp; L75 &amp; "');"</f>
        <v>INSERT INTO `directory` (`order`, `office`, `displayname`, `title`, `ext`, `personalTel`, `directTel`, `email`, `contacttype`)  VALUES ('74','13','Security Desk ','Alton Tower Security Desk ','---','---','(416) 754-3131','---','Staff');</v>
      </c>
    </row>
    <row r="76" spans="1:13" x14ac:dyDescent="0.3">
      <c r="A76" s="5">
        <v>75</v>
      </c>
      <c r="B76" t="s">
        <v>125</v>
      </c>
      <c r="C76" t="s">
        <v>125</v>
      </c>
      <c r="D76">
        <v>14</v>
      </c>
      <c r="E76" t="s">
        <v>126</v>
      </c>
      <c r="G76" t="s">
        <v>9</v>
      </c>
      <c r="H76" s="6" t="s">
        <v>195</v>
      </c>
      <c r="I76" s="6" t="s">
        <v>195</v>
      </c>
      <c r="J76" t="s">
        <v>127</v>
      </c>
      <c r="K76" t="s">
        <v>128</v>
      </c>
      <c r="L76" t="s">
        <v>158</v>
      </c>
      <c r="M76" t="str">
        <f t="shared" si="19"/>
        <v>INSERT INTO `directory` (`order`, `office`, `displayname`, `title`, `ext`, `personalTel`, `directTel`, `email`, `contacttype`)  VALUES ('75','14','IHMG Office','8 Steelcase Road West, Markham, ON, L3R 1B2','--','--','T: (905) 475-6000','info@ihmg.ca','Office Header');</v>
      </c>
    </row>
    <row r="77" spans="1:13" x14ac:dyDescent="0.3">
      <c r="A77" s="5">
        <v>76</v>
      </c>
      <c r="B77" t="s">
        <v>125</v>
      </c>
      <c r="C77" t="s">
        <v>125</v>
      </c>
      <c r="D77">
        <v>14</v>
      </c>
      <c r="E77" t="s">
        <v>129</v>
      </c>
      <c r="G77" t="s">
        <v>130</v>
      </c>
      <c r="H77" s="6" t="s">
        <v>195</v>
      </c>
      <c r="I77" s="6" t="s">
        <v>195</v>
      </c>
      <c r="J77" t="s">
        <v>131</v>
      </c>
      <c r="K77" s="4" t="s">
        <v>132</v>
      </c>
      <c r="L77" t="s">
        <v>158</v>
      </c>
      <c r="M77" t="str">
        <f t="shared" si="19"/>
        <v>INSERT INTO `directory` (`order`, `office`, `displayname`, `title`, `ext`, `personalTel`, `directTel`, `email`, `contacttype`)  VALUES ('76','14','IHMGRI Office','8 Steelcase Road West, Unit E, Markham, ON, L3R 1B2','--','--','T: (905) 489-8989','realestate@ihmg.ca','Office Header');</v>
      </c>
    </row>
    <row r="78" spans="1:13" x14ac:dyDescent="0.3">
      <c r="A78" s="5">
        <v>77</v>
      </c>
      <c r="B78" t="s">
        <v>125</v>
      </c>
      <c r="C78" t="s">
        <v>125</v>
      </c>
      <c r="D78">
        <v>14</v>
      </c>
      <c r="E78" t="s">
        <v>186</v>
      </c>
      <c r="G78" t="s">
        <v>187</v>
      </c>
      <c r="H78">
        <v>120</v>
      </c>
      <c r="I78" t="s">
        <v>188</v>
      </c>
      <c r="J78" t="s">
        <v>133</v>
      </c>
      <c r="K78" s="4" t="s">
        <v>189</v>
      </c>
      <c r="L78" t="s">
        <v>160</v>
      </c>
      <c r="M78" t="str">
        <f t="shared" si="19"/>
        <v>INSERT INTO `directory` (`order`, `office`, `displayname`, `title`, `ext`, `personalTel`, `directTel`, `email`, `contacttype`)  VALUES ('77','14','Eddie Tang','Financial Controller','120','(416) 723-8329','(905) 489-0186','eddie@ihmg.ca','Staff');</v>
      </c>
    </row>
    <row r="79" spans="1:13" x14ac:dyDescent="0.3">
      <c r="A79" s="5">
        <v>78</v>
      </c>
      <c r="B79" t="s">
        <v>125</v>
      </c>
      <c r="C79" t="s">
        <v>125</v>
      </c>
      <c r="D79">
        <v>14</v>
      </c>
      <c r="E79" t="s">
        <v>134</v>
      </c>
      <c r="G79" t="s">
        <v>190</v>
      </c>
      <c r="H79">
        <v>187</v>
      </c>
      <c r="I79" t="s">
        <v>135</v>
      </c>
      <c r="J79" s="6" t="s">
        <v>13</v>
      </c>
      <c r="K79" s="4" t="s">
        <v>136</v>
      </c>
      <c r="L79" t="s">
        <v>160</v>
      </c>
      <c r="M79" t="str">
        <f t="shared" si="19"/>
        <v>INSERT INTO `directory` (`order`, `office`, `displayname`, `title`, `ext`, `personalTel`, `directTel`, `email`, `contacttype`)  VALUES ('78','14','Lily Hou','Senior Accounting Analyst &amp; Operations Support','187','(647) 774-8994','---','lily@ihmg.ca','Staff');</v>
      </c>
    </row>
    <row r="80" spans="1:13" x14ac:dyDescent="0.3">
      <c r="A80" s="5">
        <v>79</v>
      </c>
      <c r="B80" t="s">
        <v>179</v>
      </c>
      <c r="C80" t="s">
        <v>171</v>
      </c>
      <c r="D80">
        <v>1</v>
      </c>
      <c r="E80" t="s">
        <v>143</v>
      </c>
      <c r="G80" t="s">
        <v>191</v>
      </c>
      <c r="H80">
        <v>541</v>
      </c>
      <c r="I80" s="6" t="s">
        <v>13</v>
      </c>
      <c r="J80" s="6" t="s">
        <v>13</v>
      </c>
      <c r="K80" s="6" t="s">
        <v>193</v>
      </c>
      <c r="L80" t="s">
        <v>191</v>
      </c>
      <c r="M80" t="str">
        <f t="shared" si="19"/>
        <v>INSERT INTO `directory` (`order`, `office`, `displayname`, `title`, `ext`, `personalTel`, `directTel`, `email`, `contacttype`)  VALUES ('79','1','Lunch Room','Meeting Room','541','---','---','-','Meeting Room');</v>
      </c>
    </row>
    <row r="81" spans="1:13" x14ac:dyDescent="0.3">
      <c r="A81" s="5">
        <v>80</v>
      </c>
      <c r="B81" t="s">
        <v>179</v>
      </c>
      <c r="C81" t="s">
        <v>171</v>
      </c>
      <c r="D81">
        <v>1</v>
      </c>
      <c r="E81" t="s">
        <v>144</v>
      </c>
      <c r="G81" t="s">
        <v>191</v>
      </c>
      <c r="H81">
        <v>250</v>
      </c>
      <c r="I81" s="6" t="s">
        <v>13</v>
      </c>
      <c r="J81" s="6" t="s">
        <v>13</v>
      </c>
      <c r="K81" s="6" t="s">
        <v>193</v>
      </c>
      <c r="L81" t="s">
        <v>191</v>
      </c>
      <c r="M81" t="str">
        <f t="shared" si="19"/>
        <v>INSERT INTO `directory` (`order`, `office`, `displayname`, `title`, `ext`, `personalTel`, `directTel`, `email`, `contacttype`)  VALUES ('80','1','Markham Room','Meeting Room','250','---','---','-','Meeting Room');</v>
      </c>
    </row>
    <row r="82" spans="1:13" x14ac:dyDescent="0.3">
      <c r="A82" s="5">
        <v>81</v>
      </c>
      <c r="B82" t="s">
        <v>179</v>
      </c>
      <c r="C82" t="s">
        <v>171</v>
      </c>
      <c r="D82">
        <v>1</v>
      </c>
      <c r="E82" t="s">
        <v>145</v>
      </c>
      <c r="G82" t="s">
        <v>191</v>
      </c>
      <c r="H82">
        <v>226</v>
      </c>
      <c r="I82" s="6" t="s">
        <v>13</v>
      </c>
      <c r="J82" s="6" t="s">
        <v>13</v>
      </c>
      <c r="K82" s="6" t="s">
        <v>193</v>
      </c>
      <c r="L82" t="s">
        <v>191</v>
      </c>
      <c r="M82" t="str">
        <f t="shared" si="19"/>
        <v>INSERT INTO `directory` (`order`, `office`, `displayname`, `title`, `ext`, `personalTel`, `directTel`, `email`, `contacttype`)  VALUES ('81','1','Mississauga Room','Meeting Room','226','---','---','-','Meeting Room');</v>
      </c>
    </row>
    <row r="83" spans="1:13" x14ac:dyDescent="0.3">
      <c r="A83" s="5">
        <v>82</v>
      </c>
      <c r="B83" t="s">
        <v>179</v>
      </c>
      <c r="C83" t="s">
        <v>171</v>
      </c>
      <c r="D83">
        <v>1</v>
      </c>
      <c r="E83" t="s">
        <v>146</v>
      </c>
      <c r="G83" t="s">
        <v>191</v>
      </c>
      <c r="H83">
        <v>288</v>
      </c>
      <c r="I83" s="6" t="s">
        <v>13</v>
      </c>
      <c r="J83" s="6" t="s">
        <v>13</v>
      </c>
      <c r="K83" s="6" t="s">
        <v>193</v>
      </c>
      <c r="L83" t="s">
        <v>191</v>
      </c>
      <c r="M83" t="str">
        <f t="shared" si="19"/>
        <v>INSERT INTO `directory` (`order`, `office`, `displayname`, `title`, `ext`, `personalTel`, `directTel`, `email`, `contacttype`)  VALUES ('82','1','The Living Room','Meeting Room','288','---','---','-','Meeting Room');</v>
      </c>
    </row>
    <row r="84" spans="1:13" x14ac:dyDescent="0.3">
      <c r="A84" s="5">
        <v>83</v>
      </c>
      <c r="B84" t="s">
        <v>179</v>
      </c>
      <c r="C84" t="s">
        <v>171</v>
      </c>
      <c r="D84">
        <v>1</v>
      </c>
      <c r="E84" t="s">
        <v>147</v>
      </c>
      <c r="G84" t="s">
        <v>191</v>
      </c>
      <c r="H84">
        <v>208</v>
      </c>
      <c r="I84" s="6" t="s">
        <v>13</v>
      </c>
      <c r="J84" s="6" t="s">
        <v>13</v>
      </c>
      <c r="K84" s="6" t="s">
        <v>193</v>
      </c>
      <c r="L84" t="s">
        <v>191</v>
      </c>
      <c r="M84" t="str">
        <f t="shared" si="19"/>
        <v>INSERT INTO `directory` (`order`, `office`, `displayname`, `title`, `ext`, `personalTel`, `directTel`, `email`, `contacttype`)  VALUES ('83','1','Toronto Room','Meeting Room','208','---','---','-','Meeting Room');</v>
      </c>
    </row>
    <row r="85" spans="1:13" x14ac:dyDescent="0.3">
      <c r="A85" s="5">
        <v>84</v>
      </c>
      <c r="B85" t="s">
        <v>179</v>
      </c>
      <c r="C85" t="s">
        <v>171</v>
      </c>
      <c r="D85">
        <v>1</v>
      </c>
      <c r="E85" t="s">
        <v>148</v>
      </c>
      <c r="G85" t="s">
        <v>191</v>
      </c>
      <c r="H85">
        <v>524</v>
      </c>
      <c r="I85" s="6" t="s">
        <v>13</v>
      </c>
      <c r="J85" s="6" t="s">
        <v>13</v>
      </c>
      <c r="K85" s="6" t="s">
        <v>193</v>
      </c>
      <c r="L85" t="s">
        <v>191</v>
      </c>
      <c r="M85" t="str">
        <f t="shared" si="19"/>
        <v>INSERT INTO `directory` (`order`, `office`, `displayname`, `title`, `ext`, `personalTel`, `directTel`, `email`, `contacttype`)  VALUES ('84','1','York Room','Meeting Room','524','---','---','-','Meeting Room');</v>
      </c>
    </row>
  </sheetData>
  <hyperlinks>
    <hyperlink ref="K2" r:id="rId1" display="woodbine@livingrealty.com" xr:uid="{C319999C-29A3-42D9-B324-067C2FAB6DA2}"/>
    <hyperlink ref="K3" r:id="rId2" xr:uid="{61A355EB-7392-482E-A31B-18A81475FEA2}"/>
    <hyperlink ref="K4" r:id="rId3" xr:uid="{AAC52350-63BC-49E4-AB30-AA515B855C94}"/>
    <hyperlink ref="K30" r:id="rId4" xr:uid="{00DF1362-6E25-4F93-817E-87B7D5053E83}"/>
    <hyperlink ref="K46" r:id="rId5" xr:uid="{52D2CA8B-EEC2-437B-8358-39021C3922A5}"/>
    <hyperlink ref="K78" r:id="rId6" xr:uid="{39562F23-6CA7-49AB-9C7B-CFFD135D5569}"/>
    <hyperlink ref="K79" r:id="rId7" xr:uid="{7D0A575D-6D1E-459A-8BE1-834C87DE6FF3}"/>
    <hyperlink ref="K77" r:id="rId8" xr:uid="{9DB04ED1-2784-42AB-8591-C19CE3C56BAB}"/>
    <hyperlink ref="K9" r:id="rId9" xr:uid="{20EDEC14-38F2-4118-8479-655D5EFC4DEE}"/>
    <hyperlink ref="K32" r:id="rId10" xr:uid="{C9F0094A-C483-4C7B-ABF0-879EAE2A2AB2}"/>
    <hyperlink ref="K60" r:id="rId11" xr:uid="{859B2763-7E68-453C-A061-50B98A6FFD08}"/>
    <hyperlink ref="K31" r:id="rId12" xr:uid="{2A81680F-E264-4A37-BA66-E7145340240C}"/>
    <hyperlink ref="K24" r:id="rId13" xr:uid="{C415D613-1570-441D-A891-ED3A35DEB1A5}"/>
    <hyperlink ref="K36" r:id="rId14" xr:uid="{5DA780DA-5AE3-4673-B2D5-44E74D6CADF4}"/>
    <hyperlink ref="K23" r:id="rId15" xr:uid="{D1B93B60-C4A2-4C1E-A23F-AA7F2DF69C12}"/>
    <hyperlink ref="K57" r:id="rId16" xr:uid="{605D06FB-BDCA-4D83-A43A-BE83330B88FB}"/>
    <hyperlink ref="K20" r:id="rId17" xr:uid="{B648B368-E192-405E-AF40-90D54C14ED98}"/>
    <hyperlink ref="K58" r:id="rId18" xr:uid="{808CD1D5-334F-4AE6-8D51-87CD2C3A649E}"/>
    <hyperlink ref="K55" r:id="rId19" xr:uid="{E8B48719-363A-49FC-B3C8-181E5CD398EA}"/>
    <hyperlink ref="K49" r:id="rId20" xr:uid="{741920D7-852F-438F-9B8A-B9ABD3DE381E}"/>
    <hyperlink ref="K74" r:id="rId21" display="mailto:optima2@livingproperties.com" xr:uid="{FC418030-4EE8-4439-92C7-DD13F00F4D6A}"/>
    <hyperlink ref="K66" r:id="rId22" xr:uid="{51FF6984-1DC6-430F-8E60-254E7A49BE1B}"/>
    <hyperlink ref="K73" r:id="rId23" xr:uid="{9681E0BE-E957-4347-8DBD-4A244171852E}"/>
    <hyperlink ref="K67" r:id="rId24" xr:uid="{30A38D56-4D68-485C-9630-D527FE1A7375}"/>
    <hyperlink ref="K17" r:id="rId25" xr:uid="{B4D2F180-C9A6-4272-89D7-2F45E07DF9D9}"/>
    <hyperlink ref="K51" r:id="rId26" xr:uid="{A9377D63-6925-44E0-9C10-08AA1C1392A0}"/>
    <hyperlink ref="K5" r:id="rId27" xr:uid="{4DE7FF7F-49C2-494C-9ADB-BFB49C469051}"/>
    <hyperlink ref="K12" r:id="rId28" xr:uid="{90CB7667-927C-4A55-A4D2-5ECF1714DD75}"/>
    <hyperlink ref="K16" r:id="rId29" xr:uid="{D736220D-F75D-48ED-8215-388BFD7FD301}"/>
    <hyperlink ref="K18" r:id="rId30" xr:uid="{817B083C-1611-4901-8A1D-B030947152E8}"/>
    <hyperlink ref="K19" r:id="rId31" xr:uid="{752CA09E-105C-4C44-8813-DDB06D0C764D}"/>
    <hyperlink ref="K21" r:id="rId32" xr:uid="{A7F2B0B7-6CD2-46B0-BB3A-E30D6262FA40}"/>
    <hyperlink ref="K22" r:id="rId33" xr:uid="{9B61C4AA-A004-4FEE-9055-CCAA2E34D986}"/>
    <hyperlink ref="K25" r:id="rId34" xr:uid="{50B74B28-16D3-4C9C-B649-AC16BE018A83}"/>
    <hyperlink ref="K26" r:id="rId35" xr:uid="{A3065F38-759F-4602-8D3C-7233C32A3032}"/>
    <hyperlink ref="K27" r:id="rId36" xr:uid="{C3F36426-076E-4E31-9F0B-0EA3A6B1DD75}"/>
    <hyperlink ref="K28" r:id="rId37" xr:uid="{E62BDC17-BE73-4321-AC87-B2F1AC44C52D}"/>
    <hyperlink ref="K34" r:id="rId38" xr:uid="{26ECB104-FD6B-4BA7-BC13-956EEDFA68E3}"/>
    <hyperlink ref="K35" r:id="rId39" xr:uid="{F9DADC4C-0A70-47E0-AB40-D008FA823714}"/>
    <hyperlink ref="K42" r:id="rId40" xr:uid="{778E5024-226B-4920-B0C2-E54E318B7AA7}"/>
    <hyperlink ref="K6" r:id="rId41" xr:uid="{7327C3B3-FC73-4FD4-8E3A-EAE29080795C}"/>
    <hyperlink ref="K7" r:id="rId42" xr:uid="{9835C5DD-A107-49DA-A102-1D32512F3959}"/>
    <hyperlink ref="K11" r:id="rId43" xr:uid="{F46283B7-7116-414C-8181-21C8009155F7}"/>
    <hyperlink ref="K70" r:id="rId44" xr:uid="{CF0A0F84-6B70-448A-A7E4-353F76C06344}"/>
    <hyperlink ref="K38" r:id="rId45" xr:uid="{F255A40E-E7F9-46E9-80A6-89E7F5CECB64}"/>
    <hyperlink ref="K39" r:id="rId46" xr:uid="{F33CFE79-8711-4EBC-9CB7-252D909356D4}"/>
    <hyperlink ref="K40" r:id="rId47" xr:uid="{B46830F1-4C98-4965-8EC5-D6EBD7A32C28}"/>
    <hyperlink ref="K59" r:id="rId48" xr:uid="{9D43AF14-0E24-4C14-AD35-9A3EEC0FCFA3}"/>
    <hyperlink ref="K50" r:id="rId49" xr:uid="{C4723849-58CB-441D-8956-C096D16EB2A8}"/>
    <hyperlink ref="K10" r:id="rId50" xr:uid="{D399DD4D-94FB-4195-932E-DB5272684B27}"/>
    <hyperlink ref="K14" r:id="rId51" xr:uid="{A9480283-62BB-4C10-B422-024E9E2E5277}"/>
    <hyperlink ref="K15" r:id="rId52" xr:uid="{E60717EF-9C6B-447A-B1BA-FB4D65924041}"/>
    <hyperlink ref="K37" r:id="rId53" xr:uid="{BE275955-0794-4CB9-A56A-2BC9C2791ED0}"/>
    <hyperlink ref="K52" r:id="rId54" xr:uid="{A212BA28-9EE1-44F2-BFE7-6F1C1CF038B2}"/>
    <hyperlink ref="K33" r:id="rId55" xr:uid="{37D990D4-716B-43C9-A4F6-1F409C617980}"/>
  </hyperlinks>
  <pageMargins left="0.7" right="0.7" top="0.75" bottom="0.75" header="0.3" footer="0.3"/>
  <pageSetup orientation="portrait" r:id="rId56"/>
  <tableParts count="1">
    <tablePart r:id="rId5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CBDC-8347-4AEC-8B09-BF931AC71ED2}">
  <dimension ref="B1:B14"/>
  <sheetViews>
    <sheetView workbookViewId="0">
      <selection activeCell="M4" sqref="M4"/>
    </sheetView>
  </sheetViews>
  <sheetFormatPr defaultRowHeight="14.4" x14ac:dyDescent="0.3"/>
  <sheetData>
    <row r="1" spans="2:2" x14ac:dyDescent="0.3">
      <c r="B1" t="s">
        <v>6</v>
      </c>
    </row>
    <row r="2" spans="2:2" x14ac:dyDescent="0.3">
      <c r="B2" t="s">
        <v>7</v>
      </c>
    </row>
    <row r="3" spans="2:2" x14ac:dyDescent="0.3">
      <c r="B3" t="s">
        <v>51</v>
      </c>
    </row>
    <row r="4" spans="2:2" x14ac:dyDescent="0.3">
      <c r="B4" t="s">
        <v>62</v>
      </c>
    </row>
    <row r="5" spans="2:2" x14ac:dyDescent="0.3">
      <c r="B5" t="s">
        <v>67</v>
      </c>
    </row>
    <row r="6" spans="2:2" x14ac:dyDescent="0.3">
      <c r="B6" t="s">
        <v>72</v>
      </c>
    </row>
    <row r="7" spans="2:2" x14ac:dyDescent="0.3">
      <c r="B7" t="s">
        <v>78</v>
      </c>
    </row>
    <row r="8" spans="2:2" x14ac:dyDescent="0.3">
      <c r="B8" t="s">
        <v>80</v>
      </c>
    </row>
    <row r="9" spans="2:2" x14ac:dyDescent="0.3">
      <c r="B9" t="s">
        <v>85</v>
      </c>
    </row>
    <row r="10" spans="2:2" x14ac:dyDescent="0.3">
      <c r="B10" t="s">
        <v>113</v>
      </c>
    </row>
    <row r="11" spans="2:2" x14ac:dyDescent="0.3">
      <c r="B11" t="s">
        <v>137</v>
      </c>
    </row>
    <row r="12" spans="2:2" x14ac:dyDescent="0.3">
      <c r="B12" t="s">
        <v>138</v>
      </c>
    </row>
    <row r="13" spans="2:2" x14ac:dyDescent="0.3">
      <c r="B13" t="s">
        <v>124</v>
      </c>
    </row>
    <row r="14" spans="2:2" x14ac:dyDescent="0.3">
      <c r="B14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EF5D6F9A2C14292C82E7F88E7D4C7" ma:contentTypeVersion="2" ma:contentTypeDescription="Create a new document." ma:contentTypeScope="" ma:versionID="770a5493e01cc46570af888c0fd11107">
  <xsd:schema xmlns:xsd="http://www.w3.org/2001/XMLSchema" xmlns:xs="http://www.w3.org/2001/XMLSchema" xmlns:p="http://schemas.microsoft.com/office/2006/metadata/properties" xmlns:ns2="6e07a911-1c82-455b-ae09-b73935b22a66" targetNamespace="http://schemas.microsoft.com/office/2006/metadata/properties" ma:root="true" ma:fieldsID="de63ad8f9259e2f5a7ae7a5921e0e8ad" ns2:_="">
    <xsd:import namespace="6e07a911-1c82-455b-ae09-b73935b2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7a911-1c82-455b-ae09-b73935b22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88865-1BAB-459E-8F28-5F6AB5F6E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7a911-1c82-455b-ae09-b73935b22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569B7B-6177-4C5F-B641-1220485D9B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D3F55-29C2-4E12-8D9A-9EC0083C9C49}">
  <ds:schemaRefs>
    <ds:schemaRef ds:uri="http://purl.org/dc/dcmitype/"/>
    <ds:schemaRef ds:uri="6e07a911-1c82-455b-ae09-b73935b22a66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Letter Size</vt:lpstr>
      <vt:lpstr>Legal Size</vt:lpstr>
      <vt:lpstr>ContactData</vt:lpstr>
      <vt:lpstr>Sorting</vt:lpstr>
      <vt:lpstr>'Legal Size'!Print_Area</vt:lpstr>
      <vt:lpstr>'Letter Size'!Print_Area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Lau</dc:creator>
  <cp:keywords/>
  <dc:description/>
  <cp:lastModifiedBy>Nelson Lau</cp:lastModifiedBy>
  <cp:revision/>
  <cp:lastPrinted>2025-11-03T15:42:56Z</cp:lastPrinted>
  <dcterms:created xsi:type="dcterms:W3CDTF">2022-03-18T20:07:19Z</dcterms:created>
  <dcterms:modified xsi:type="dcterms:W3CDTF">2026-04-28T14:11:23Z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0x010100FCEEF5D6F9A2C14292C82E7F88E7D4C7</vt:lpwstr>
  </property>
</Properties>
</file>